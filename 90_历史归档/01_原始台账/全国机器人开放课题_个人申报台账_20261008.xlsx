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860fcedc343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申报总览" sheetId="1" r:id="R6f135de9db19408b"/>
    <x:sheet xmlns:r="http://schemas.openxmlformats.org/officeDocument/2006/relationships" name="02项目完整详情" sheetId="2" r:id="R60c1fb4bf143453e"/>
    <x:sheet xmlns:r="http://schemas.openxmlformats.org/officeDocument/2006/relationships" name="03机构检索覆盖" sheetId="3" r:id="Rc00e6fa7b43046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sz val="10"/>
      <x:color rgb="FF475569"/>
      <x:name val="Carlito"/>
    </x:font>
    <x:font>
      <x:b/>
      <x:sz val="10"/>
      <x:color rgb="FF123452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452"/>
      </x:patternFill>
    </x:fill>
    <x:fill>
      <x:patternFill patternType="solid">
        <x:fgColor rgb="FFEDF2F8"/>
      </x:patternFill>
    </x:fill>
    <x:fill>
      <x:patternFill patternType="solid">
        <x:fgColor rgb="FFDCECF5"/>
      </x:patternFill>
    </x:fill>
    <x:fill>
      <x:patternFill patternType="solid">
        <x:fgColor rgb="FF21466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07574E"/>
      </x:font>
      <x:fill>
        <x:patternFill patternType="solid">
          <x:bgColor rgb="FFDAF1EA"/>
        </x:patternFill>
      </x:fill>
    </x:dxf>
    <x:dxf>
      <x:font>
        <x:color rgb="FF697586"/>
      </x:font>
      <x:fill>
        <x:patternFill patternType="solid">
          <x:bgColor rgb="FFF2F4F7"/>
        </x:patternFill>
      </x:fill>
    </x:dxf>
    <x:dxf>
      <x:font>
        <x:color rgb="FF7B5300"/>
      </x:font>
      <x:fill>
        <x:patternFill patternType="solid">
          <x:bgColor rgb="FFFFF4D8"/>
        </x:patternFill>
      </x:fill>
    </x:dxf>
    <x:dxf>
      <x:font>
        <x:b/>
        <x:color rgb="FF9B341D"/>
      </x:font>
      <x:fill>
        <x:patternFill patternType="solid">
          <x:bgColor rgb="FFFDE7DF"/>
        </x:patternFill>
      </x:fill>
    </x:dxf>
    <x:dxf>
      <x:font>
        <x:b/>
        <x:color rgb="FF07574E"/>
      </x:font>
      <x:fill>
        <x:patternFill patternType="solid">
          <x:bgColor rgb="FFDAF1EA"/>
        </x:patternFill>
      </x:fill>
    </x:dxf>
    <x:dxf>
      <x:font>
        <x:color rgb="FF7B5300"/>
      </x:font>
      <x:fill>
        <x:patternFill patternType="solid">
          <x:bgColor rgb="FFFFF4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c9039b853d4d07" /><Relationship Type="http://schemas.openxmlformats.org/officeDocument/2006/relationships/theme" Target="/xl/theme/theme1.xml" Id="Re9e037f3f10247da" /><Relationship Type="http://schemas.openxmlformats.org/officeDocument/2006/relationships/sharedStrings" Target="/xl/sharedStrings.xml" Id="R1e70d6f119ab470c" /><Relationship Type="http://schemas.openxmlformats.org/officeDocument/2006/relationships/worksheet" Target="/xl/worksheets/sheet1.xml" Id="R6f135de9db19408b" /><Relationship Type="http://schemas.openxmlformats.org/officeDocument/2006/relationships/worksheet" Target="/xl/worksheets/sheet2.xml" Id="R60c1fb4bf143453e" /><Relationship Type="http://schemas.openxmlformats.org/officeDocument/2006/relationships/worksheet" Target="/xl/worksheets/sheet3.xml" Id="Rc00e6fa7b430464a" /></Relationships>
</file>

<file path=xl/tables/table1.xml><?xml version="1.0" encoding="utf-8"?>
<x:table xmlns:x="http://schemas.openxmlformats.org/spreadsheetml/2006/main" id="1" name="OpenCallsOverview" displayName="OpenCallsOverview" ref="A6:K205" headerRowCount="1" totalsRowCount="0" totalsRowShown="0">
  <x:tableColumns count="11">
    <x:tableColumn id="1" name="类型"/>
    <x:tableColumn id="2" name="优先级"/>
    <x:tableColumn id="3" name="申报状态"/>
    <x:tableColumn id="4" name="依托单位 · 实验室"/>
    <x:tableColumn id="5" name="截止日期"/>
    <x:tableColumn id="6" name="匹配方向 / 具体关联"/>
    <x:tableColumn id="7" name="资助金额"/>
    <x:tableColumn id="8" name="关键申报条件"/>
    <x:tableColumn id="9" name="下一步动作"/>
    <x:tableColumn id="10" name="正式公告网址"/>
    <x:tableColumn id="11" name="项目编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enCallsFullDetails" displayName="OpenCallsFullDetails" ref="A6:Z205" headerRowCount="1" totalsRowCount="0" totalsRowShown="0">
  <x:tableColumns count="26">
    <x:tableColumn id="1" name="项目编号"/>
    <x:tableColumn id="2" name="项目类别"/>
    <x:tableColumn id="3" name="依托机构"/>
    <x:tableColumn id="4" name="实验室/项目名称"/>
    <x:tableColumn id="5" name="官方截止日期"/>
    <x:tableColumn id="6" name="受理分类"/>
    <x:tableColumn id="7" name="匹配优先级"/>
    <x:tableColumn id="8" name="研究方向及可复用部分"/>
    <x:tableColumn id="9" name="匹配判断与应用场景限制"/>
    <x:tableColumn id="10" name="资助金额/类型"/>
    <x:tableColumn id="11" name="申请人条件"/>
    <x:tableColumn id="12" name="合作/固定人员要求"/>
    <x:tableColumn id="13" name="经费是否外拨"/>
    <x:tableColumn id="14" name="研究周期"/>
    <x:tableColumn id="15" name="结题/成果署名要求"/>
    <x:tableColumn id="16" name="申报材料及方式"/>
    <x:tableColumn id="17" name="官方公告URL"/>
    <x:tableColumn id="18" name="附件/第二官网URL"/>
    <x:tableColumn id="19" name="公告核查程度"/>
    <x:tableColumn id="20" name="附件核查程度"/>
    <x:tableColumn id="21" name="资料检索基准"/>
    <x:tableColumn id="22" name="下一步待核或行动"/>
    <x:tableColumn id="23" name="历史来源资格摘要"/>
    <x:tableColumn id="24" name="来源分支"/>
    <x:tableColumn id="25" name="旧编号/映射"/>
    <x:tableColumn id="26" name="去重/特殊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stitutionCoverage" displayName="InstitutionCoverage" ref="A6:I150" headerRowCount="1" totalsRowCount="0" totalsRowShown="0">
  <x:tableColumns count="9">
    <x:tableColumn id="1" name="覆盖层次"/>
    <x:tableColumn id="2" name="单位/平台"/>
    <x:tableColumn id="3" name="优先级"/>
    <x:tableColumn id="4" name="合作关系/地区"/>
    <x:tableColumn id="5" name="已检索证据"/>
    <x:tableColumn id="6" name="仍需查的内容"/>
    <x:tableColumn id="7" name="机构相关平台完成?"/>
    <x:tableColumn id="8" name="来源备注"/>
    <x:tableColumn id="9" name="下一轮操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f7e619d14e4a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da4d89135742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c1fc4f281544aa" /></Relationships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9" hidden="0" customWidth="1"/>
    <x:col min="3" max="3" width="22" hidden="0" customWidth="1"/>
    <x:col min="4" max="4" width="43" hidden="0" customWidth="1"/>
    <x:col min="5" max="5" width="16" hidden="0" customWidth="1"/>
    <x:col min="6" max="6" width="49" hidden="0" customWidth="1"/>
    <x:col min="7" max="7" width="29" hidden="0" customWidth="1"/>
    <x:col min="8" max="8" width="51" hidden="0" customWidth="1"/>
    <x:col min="9" max="9" width="32" hidden="0" customWidth="1"/>
    <x:col min="10" max="10" width="46" hidden="0" customWidth="1"/>
    <x:col min="11" max="11" width="13" hidden="0" customWidth="1"/>
  </x:cols>
  <x:sheetData>
    <x:row r="1" ht="36" customHeight="1">
      <x:c r="A1" s="4" t="str">
        <x:v>全国机器人与医工开放课题｜个人申报决策总览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0" customHeight="1">
      <x:c r="A2" s="11" t="str">
        <x:v>基准日 2026-10-08｜近期候选 ≠ 已确认个人可申请；需核本人职称/资格、合作人及附件。先看近期候选，历史储备在后，其他资助另列。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 ht="26" customHeight="1">
      <x:c r="A3" s="18" t="str">
        <x:v>近期候选</x:v>
      </x:c>
      <x:c r="B3" s="18" t="n">
        <x:f>COUNTIF(A7:A205,"近期候选")</x:f>
        <x:v>36</x:v>
      </x:c>
      <x:c r="C3" s="18" t="str">
        <x:v>已截止储备</x:v>
      </x:c>
      <x:c r="D3" s="18" t="n">
        <x:f>COUNTIF(A7:A205,"历史储备")</x:f>
        <x:v>123</x:v>
      </x:c>
      <x:c r="E3" s="18" t="str">
        <x:v>日期/批次待核</x:v>
      </x:c>
      <x:c r="F3" s="18" t="n">
        <x:f>COUNTIF(A7:A205,"待确认批次")</x:f>
        <x:v>35</x:v>
      </x:c>
      <x:c r="G3" s="18" t="str">
        <x:v>其他资金</x:v>
      </x:c>
      <x:c r="H3" s="18" t="n">
        <x:f>COUNTIF(A7:A205,"其他资金")</x:f>
        <x:v>4</x:v>
      </x:c>
      <x:c r="I3" s="18" t="str">
        <x:v>原始统一记录</x:v>
      </x:c>
      <x:c r="J3" s="18" t="str">
        <x:v>193条</x:v>
      </x:c>
      <x:c r="K3" s="18" t="str">
        <x:v>补录2条＋旁支4条</x:v>
      </x:c>
    </x:row>
    <x:row r="6" ht="31" customHeight="1">
      <x:c r="A6" s="25" t="str">
        <x:v>类型</x:v>
      </x:c>
      <x:c r="B6" s="25" t="str">
        <x:v>优先级</x:v>
      </x:c>
      <x:c r="C6" s="25" t="str">
        <x:v>申报状态</x:v>
      </x:c>
      <x:c r="D6" s="25" t="str">
        <x:v>依托单位 · 实验室</x:v>
      </x:c>
      <x:c r="E6" s="25" t="str">
        <x:v>截止日期</x:v>
      </x:c>
      <x:c r="F6" s="25" t="str">
        <x:v>匹配方向 / 具体关联</x:v>
      </x:c>
      <x:c r="G6" s="25" t="str">
        <x:v>资助金额</x:v>
      </x:c>
      <x:c r="H6" s="25" t="str">
        <x:v>关键申报条件</x:v>
      </x:c>
      <x:c r="I6" s="25" t="str">
        <x:v>下一步动作</x:v>
      </x:c>
      <x:c r="J6" s="25" t="str">
        <x:v>正式公告网址</x:v>
      </x:c>
      <x:c r="K6" s="25" t="str">
        <x:v>项目编号</x:v>
      </x:c>
    </x:row>
    <x:row r="7" ht="36" customHeight="1">
      <x:c r="A7" s="30" t="str">
        <x:v>近期候选</x:v>
      </x:c>
      <x:c r="B7" s="30" t="str">
        <x:v>中</x:v>
      </x:c>
      <x:c r="C7" s="30" t="str">
        <x:v>临界截止·需立即确认</x:v>
      </x:c>
      <x:c r="D7" s="30" t="str">
        <x:v>上海科技大学 — 智能感知与人机协同教育部重点实验室</x:v>
      </x:c>
      <x:c r="E7" s="30" t="str">
        <x:v>2026-10-08</x:v>
      </x:c>
      <x:c r="F7" s="30" t="str">
        <x:v>高自由度机器人遥操作、柔性织物双臂操作</x:v>
      </x:c>
      <x:c r="G7" s="30" t="str">
        <x:v>官网公告正文未注明</x:v>
      </x:c>
      <x:c r="H7" s="30" t="str">
        <x:v>10月8日前交（当日是否接受需立即确认）；须固定人员合作</x:v>
      </x:c>
      <x:c r="I7" s="30" t="str">
        <x:v>确认当天能否接收材料</x:v>
      </x:c>
      <x:c r="J7" s="30" t="str">
        <x:v>https://klip-humaco.sist.shanghaitech.edu.cn/2026/0914/c14914a1126983/page.htm</x:v>
      </x:c>
      <x:c r="K7" s="30" t="str">
        <x:v>M035</x:v>
      </x:c>
    </x:row>
    <x:row r="8" ht="36" customHeight="1">
      <x:c r="A8" s="30" t="str">
        <x:v>近期候选</x:v>
      </x:c>
      <x:c r="B8" s="30" t="str">
        <x:v>中</x:v>
      </x:c>
      <x:c r="C8" s="30" t="str">
        <x:v>今日截止·资格待核</x:v>
      </x:c>
      <x:c r="D8" s="30" t="str">
        <x:v>中北大学 — 机器视觉与虚拟现实山西省重点实验室</x:v>
      </x:c>
      <x:c r="E8" s="30" t="str">
        <x:v>2026-10-08</x:v>
      </x:c>
      <x:c r="F8" s="30" t="str">
        <x:v>机器视觉；三维重建；多模态融合</x:v>
      </x:c>
      <x:c r="G8" s="30" t="str">
        <x:v>一般2万元；重点4万元/项；资助期2年</x:v>
      </x:c>
      <x:c r="H8" s="30" t="str">
        <x:v>须博士或高级职称；论文实验室第一完成单位；固定研究人员署名</x:v>
      </x:c>
      <x:c r="I8" s="30" t="str">
        <x:v>确认当天能否接收材料</x:v>
      </x:c>
      <x:c r="J8" s="30" t="str">
        <x:v>https://www.nuc.edu.cn/info/1014/62433.htm</x:v>
      </x:c>
      <x:c r="K8" s="30" t="str">
        <x:v>M068</x:v>
      </x:c>
    </x:row>
    <x:row r="9" ht="36" customHeight="1">
      <x:c r="A9" s="30" t="str">
        <x:v>近期候选</x:v>
      </x:c>
      <x:c r="B9" s="30" t="str">
        <x:v>低</x:v>
      </x:c>
      <x:c r="C9" s="30" t="str">
        <x:v>今日截止·资格待核</x:v>
      </x:c>
      <x:c r="D9" s="30" t="str">
        <x:v>中北大学 — 微纳器件与系统教育部重点实验室</x:v>
      </x:c>
      <x:c r="E9" s="30" t="str">
        <x:v>2026-10-08</x:v>
      </x:c>
      <x:c r="F9" s="30" t="str">
        <x:v>微纳机器人；高精密感知；智能执行器</x:v>
      </x:c>
      <x:c r="G9" s="30" t="str">
        <x:v>2–4万元/项；资助期2年</x:v>
      </x:c>
      <x:c r="H9" s="30" t="str">
        <x:v>中级及以上职称；成果实验室第一标注单位；需赴实验室交流</x:v>
      </x:c>
      <x:c r="I9" s="30" t="str">
        <x:v>确认当天能否接收材料</x:v>
      </x:c>
      <x:c r="J9" s="30" t="str">
        <x:v>https://www.nuc.edu.cn/info/1014/62493.htm</x:v>
      </x:c>
      <x:c r="K9" s="30" t="str">
        <x:v>M043</x:v>
      </x:c>
    </x:row>
    <x:row r="10" ht="36" customHeight="1">
      <x:c r="A10" s="30" t="str">
        <x:v>近期候选</x:v>
      </x:c>
      <x:c r="B10" s="30" t="str">
        <x:v>低</x:v>
      </x:c>
      <x:c r="C10" s="30" t="str">
        <x:v>今日截止·资格待核</x:v>
      </x:c>
      <x:c r="D10" s="30" t="str">
        <x:v>中北大学 — 智能探测技术与装备山西省重点实验室</x:v>
      </x:c>
      <x:c r="E10" s="30" t="str">
        <x:v>2026-10-08</x:v>
      </x:c>
      <x:c r="F10" s="30" t="str">
        <x:v>机器感知、医学信息处理、智能探测</x:v>
      </x:c>
      <x:c r="G10" s="30" t="str">
        <x:v>2–4万元/项；资助期2年</x:v>
      </x:c>
      <x:c r="H10" s="30" t="str">
        <x:v>博士/副高可直接申报；经费不外拨；成果含固定人员署名</x:v>
      </x:c>
      <x:c r="I10" s="30" t="str">
        <x:v>确认当天能否接收材料</x:v>
      </x:c>
      <x:c r="J10" s="30" t="str">
        <x:v>https://www.nuc.edu.cn/info/1014/62583.htm</x:v>
      </x:c>
      <x:c r="K10" s="30" t="str">
        <x:v>M106</x:v>
      </x:c>
    </x:row>
    <x:row r="11" ht="36" customHeight="1">
      <x:c r="A11" s="30" t="str">
        <x:v>近期候选</x:v>
      </x:c>
      <x:c r="B11" s="30" t="str">
        <x:v>低</x:v>
      </x:c>
      <x:c r="C11" s="30" t="str">
        <x:v>今日截止·资格待核</x:v>
      </x:c>
      <x:c r="D11" s="30" t="str">
        <x:v>西南交通大学等，待核 — 桥梁智能与绿色建造全国重点实验室</x:v>
      </x:c>
      <x:c r="E11" s="30" t="str">
        <x:v>2026-10-08</x:v>
      </x:c>
      <x:c r="F11" s="30" t="str">
        <x:v>桥梁工程为核心应用；技术方法有有限交集</x:v>
      </x:c>
      <x:c r="G11" s="30" t="str">
        <x:v>未记录／待核</x:v>
      </x:c>
      <x:c r="H11" s="30" t="str">
        <x:v>申请资格/合作条件待核</x:v>
      </x:c>
      <x:c r="I11" s="30" t="str">
        <x:v>确认当天能否接收材料</x:v>
      </x:c>
      <x:c r="J11" s="30" t="str">
        <x:v>https://bridge.swjtu.edu.cn/info/1066/8471.htm</x:v>
      </x:c>
      <x:c r="K11" s="30" t="str">
        <x:v>M114</x:v>
      </x:c>
    </x:row>
    <x:row r="12" ht="36" customHeight="1">
      <x:c r="A12" s="30" t="str">
        <x:v>近期候选</x:v>
      </x:c>
      <x:c r="B12" s="30" t="str">
        <x:v>高</x:v>
      </x:c>
      <x:c r="C12" s="30" t="str">
        <x:v>日期未过·资格待核</x:v>
      </x:c>
      <x:c r="D12" s="30" t="str">
        <x:v>山东科技大学 — 山东省智能感知与自主控制重点实验室</x:v>
      </x:c>
      <x:c r="E12" s="30" t="str">
        <x:v>2026-10-15</x:v>
      </x:c>
      <x:c r="F12" s="30" t="str">
        <x:v>混合动态建模、非标准最优控制、多模态感知与反馈镇定；高度方法匹配</x:v>
      </x:c>
      <x:c r="G12" s="30" t="str">
        <x:v>一般2万元；重点5万元</x:v>
      </x:c>
      <x:c r="H12" s="30" t="str">
        <x:v>结题论文作者/单位受限；重点类还有奖项/重点项目要求</x:v>
      </x:c>
      <x:c r="I12" s="30" t="str">
        <x:v>查资格/联系实验室合作者</x:v>
      </x:c>
      <x:c r="J12" s="30" t="str">
        <x:v>https://xindian.sdust.edu.cn/info/1008/7407.htm</x:v>
      </x:c>
      <x:c r="K12" s="30" t="str">
        <x:v>M066</x:v>
      </x:c>
    </x:row>
    <x:row r="13" ht="36" customHeight="1">
      <x:c r="A13" s="30" t="str">
        <x:v>近期候选</x:v>
      </x:c>
      <x:c r="B13" s="30" t="str">
        <x:v>高</x:v>
      </x:c>
      <x:c r="C13" s="30" t="str">
        <x:v>日期未过·资格待核</x:v>
      </x:c>
      <x:c r="D13" s="30" t="str">
        <x:v>大连理工大学 — 工业装备智能控制与优化教育部重点实验室</x:v>
      </x:c>
      <x:c r="E13" s="30" t="str">
        <x:v>2026-10-27</x:v>
      </x:c>
      <x:c r="F13" s="30" t="str">
        <x:v>复杂系统自适应/鲁棒控制、优化与动力学建模；工业装备场景</x:v>
      </x:c>
      <x:c r="G13" s="30" t="str">
        <x:v>3万元/项</x:v>
      </x:c>
      <x:c r="H13" s="30" t="str">
        <x:v>须实验室固定人员合作；按工业装备对象撰题</x:v>
      </x:c>
      <x:c r="I13" s="30" t="str">
        <x:v>查资格/联系实验室合作者</x:v>
      </x:c>
      <x:c r="J13" s="30" t="str">
        <x:v>https://lico.dlut.edu.cn/info/1040/1345.htm</x:v>
      </x:c>
      <x:c r="K13" s="30" t="str">
        <x:v>M160</x:v>
      </x:c>
    </x:row>
    <x:row r="14" ht="36" customHeight="1">
      <x:c r="A14" s="30" t="str">
        <x:v>近期候选</x:v>
      </x:c>
      <x:c r="B14" s="30" t="str">
        <x:v>高</x:v>
      </x:c>
      <x:c r="C14" s="30" t="str">
        <x:v>日期未过·资格待核</x:v>
      </x:c>
      <x:c r="D14" s="30" t="str">
        <x:v>苏州工学院 — 江苏省具身智能工业机器人及其人机协作高校重点实验室</x:v>
      </x:c>
      <x:c r="E14" s="30" t="str">
        <x:v>2026-10-31</x:v>
      </x:c>
      <x:c r="F14" s="30" t="str">
        <x:v>智能医疗机器人、力触觉反馈、柔顺控制、人机协作、多模态感知</x:v>
      </x:c>
      <x:c r="G14" s="30" t="str">
        <x:v>1–3万元/项</x:v>
      </x:c>
      <x:c r="H14" s="30" t="str">
        <x:v>须联合固定人员；博士或中级以上职称；成果署名实验室</x:v>
      </x:c>
      <x:c r="I14" s="30" t="str">
        <x:v>查资格/联系实验室合作者</x:v>
      </x:c>
      <x:c r="J14" s="30" t="str">
        <x:v>https://dqxylib.szut.edu.cn/info/1016/27682.htm</x:v>
      </x:c>
      <x:c r="K14" s="30" t="str">
        <x:v>M078</x:v>
      </x:c>
    </x:row>
    <x:row r="15" ht="36" customHeight="1">
      <x:c r="A15" s="30" t="str">
        <x:v>近期候选</x:v>
      </x:c>
      <x:c r="B15" s="30" t="str">
        <x:v>中</x:v>
      </x:c>
      <x:c r="C15" s="30" t="str">
        <x:v>日期未过·资格待核</x:v>
      </x:c>
      <x:c r="D15" s="30" t="str">
        <x:v>天津大学 — 精密测试技术及仪器全国重点实验室</x:v>
      </x:c>
      <x:c r="E15" s="30" t="str">
        <x:v>2026-10-18</x:v>
      </x:c>
      <x:c r="F15" s="30" t="str">
        <x:v>精密测试、三维测量、传感/成像评价</x:v>
      </x:c>
      <x:c r="G15" s="30" t="str">
        <x:v>4–8万元/项</x:v>
      </x:c>
      <x:c r="H15" s="30" t="str">
        <x:v>申报资格及提交方式在RAR附件，待核</x:v>
      </x:c>
      <x:c r="I15" s="30" t="str">
        <x:v>查资格/联系实验室合作者</x:v>
      </x:c>
      <x:c r="J15" s="30" t="str">
        <x:v>https://tju.edu.cn/info/1159/89632.htm</x:v>
      </x:c>
      <x:c r="K15" s="30" t="str">
        <x:v>M017</x:v>
      </x:c>
    </x:row>
    <x:row r="16" ht="36" customHeight="1">
      <x:c r="A16" s="30" t="str">
        <x:v>近期候选</x:v>
      </x:c>
      <x:c r="B16" s="30" t="str">
        <x:v>中</x:v>
      </x:c>
      <x:c r="C16" s="30" t="str">
        <x:v>日期未过·资格待核</x:v>
      </x:c>
      <x:c r="D16" s="30" t="str">
        <x:v>重庆交通大学 — 交通工程应用机器人重庆市工程实验室</x:v>
      </x:c>
      <x:c r="E16" s="30" t="str">
        <x:v>2026-10-30</x:v>
      </x:c>
      <x:c r="F16" s="30" t="str">
        <x:v>交通工程应用机器人感知/规划/控制；交通场景限定</x:v>
      </x:c>
      <x:c r="G16" s="30" t="str">
        <x:v>金额见附件1，尚未读取</x:v>
      </x:c>
      <x:c r="H16" s="30" t="str">
        <x:v>申请资格及金额在附件1，待核；面向交通机器人</x:v>
      </x:c>
      <x:c r="I16" s="30" t="str">
        <x:v>查资格/联系实验室合作者</x:v>
      </x:c>
      <x:c r="J16" s="30" t="str">
        <x:v>https://news.cqjtu.edu.cn/info/1024/68220.htm</x:v>
      </x:c>
      <x:c r="K16" s="30" t="str">
        <x:v>M100</x:v>
      </x:c>
    </x:row>
    <x:row r="17" ht="36" customHeight="1">
      <x:c r="A17" s="30" t="str">
        <x:v>近期候选</x:v>
      </x:c>
      <x:c r="B17" s="30" t="str">
        <x:v>中</x:v>
      </x:c>
      <x:c r="C17" s="30" t="str">
        <x:v>日期未过·资格待核</x:v>
      </x:c>
      <x:c r="D17" s="30" t="str">
        <x:v>中国科学技术大学 — 脑启发智能感知与认知教育部重点实验室</x:v>
      </x:c>
      <x:c r="E17" s="30" t="str">
        <x:v>2026-10-31</x:v>
      </x:c>
      <x:c r="F17" s="30" t="str">
        <x:v>脑启发感知与决策、视觉感知；不直接支持医学超声接触控制</x:v>
      </x:c>
      <x:c r="G17" s="30" t="str">
        <x:v>5万元/项</x:v>
      </x:c>
      <x:c r="H17" s="30" t="str">
        <x:v>年龄≤40；不外拨；申请单位限报2项</x:v>
      </x:c>
      <x:c r="I17" s="30" t="str">
        <x:v>查资格/联系实验室合作者</x:v>
      </x:c>
      <x:c r="J17" s="30" t="str">
        <x:v>https://institution.ustc.edu.cn/BIPCLab/zh_CN/article/994106/content/5479.htm</x:v>
      </x:c>
      <x:c r="K17" s="30" t="str">
        <x:v>M041</x:v>
      </x:c>
    </x:row>
    <x:row r="18" ht="36" customHeight="1">
      <x:c r="A18" s="30" t="str">
        <x:v>近期候选</x:v>
      </x:c>
      <x:c r="B18" s="30" t="str">
        <x:v>中</x:v>
      </x:c>
      <x:c r="C18" s="30" t="str">
        <x:v>日期未过·资格待核</x:v>
      </x:c>
      <x:c r="D18" s="30" t="str">
        <x:v>苏州大学 — 江苏省高校通用人工智能与大模型重点实验室</x:v>
      </x:c>
      <x:c r="E18" s="30" t="str">
        <x:v>2026-11-10</x:v>
      </x:c>
      <x:c r="F18" s="30" t="str">
        <x:v>具身智能、多模态感知、世界模型、感知决策执行；偏大模型研究</x:v>
      </x:c>
      <x:c r="G18" s="30" t="str">
        <x:v>0.5万元/项</x:v>
      </x:c>
      <x:c r="H18" s="30" t="str">
        <x:v>每项仅0.5万元；须发表≥3篇高水平论文并署名实验室</x:v>
      </x:c>
      <x:c r="I18" s="30" t="str">
        <x:v>查资格/联系实验室合作者</x:v>
      </x:c>
      <x:c r="J18" s="30" t="str">
        <x:v>https://future.suda.edu.cn/e8/2a/c30836a714794/page.htm</x:v>
      </x:c>
      <x:c r="K18" s="30" t="str">
        <x:v>M077</x:v>
      </x:c>
    </x:row>
    <x:row r="19" ht="36" customHeight="1">
      <x:c r="A19" s="30" t="str">
        <x:v>近期候选</x:v>
      </x:c>
      <x:c r="B19" s="30" t="str">
        <x:v>中</x:v>
      </x:c>
      <x:c r="C19" s="30" t="str">
        <x:v>日期未过·资格待核</x:v>
      </x:c>
      <x:c r="D19" s="30" t="str">
        <x:v>武汉科技大学 — 机械传动与制造工程湖北省重点实验室</x:v>
      </x:c>
      <x:c r="E19" s="30" t="str">
        <x:v>2026-11-15</x:v>
      </x:c>
      <x:c r="F19" s="30" t="str">
        <x:v>机械传动动力学、机电液控制、精密传感；机械装备场景</x:v>
      </x:c>
      <x:c r="G19" s="30" t="str">
        <x:v>一般2万元；重点3万元</x:v>
      </x:c>
      <x:c r="H19" s="30" t="str">
        <x:v>≥2篇ESI工程论文；成果署名实验室第一或第二单位</x:v>
      </x:c>
      <x:c r="I19" s="30" t="str">
        <x:v>查资格/联系实验室合作者</x:v>
      </x:c>
      <x:c r="J19" s="30" t="str">
        <x:v>https://jxcd.wust.edu.cn/info/1201/3011.htm</x:v>
      </x:c>
      <x:c r="K19" s="30" t="str">
        <x:v>M161</x:v>
      </x:c>
    </x:row>
    <x:row r="20" ht="36" customHeight="1">
      <x:c r="A20" s="30" t="str">
        <x:v>近期候选</x:v>
      </x:c>
      <x:c r="B20" s="30" t="str">
        <x:v>中</x:v>
      </x:c>
      <x:c r="C20" s="30" t="str">
        <x:v>日期未过·资格待核</x:v>
      </x:c>
      <x:c r="D20" s="30" t="str">
        <x:v>华中科技大学 — 智能制造装备与技术全国重点实验室</x:v>
      </x:c>
      <x:c r="E20" s="30" t="str">
        <x:v>2026-11-30</x:v>
      </x:c>
      <x:c r="F20" s="30" t="str">
        <x:v>多模态感知、具身智能机器人自主控制、技能学习；需面向智能制造装备</x:v>
      </x:c>
      <x:c r="G20" s="30" t="str">
        <x:v>官网公告正文未给出具体资助金额</x:v>
      </x:c>
      <x:c r="H20" s="30" t="str">
        <x:v>研究对象需服务智能制造；博士/副高或2位推荐人</x:v>
      </x:c>
      <x:c r="I20" s="30" t="str">
        <x:v>查资格/联系实验室合作者</x:v>
      </x:c>
      <x:c r="J20" s="30" t="str">
        <x:v>https://imet.hust.edu.cn/info/1031/2870.htm</x:v>
      </x:c>
      <x:c r="K20" s="30" t="str">
        <x:v>M029</x:v>
      </x:c>
    </x:row>
    <x:row r="21" ht="36" customHeight="1">
      <x:c r="A21" s="30" t="str">
        <x:v>近期候选</x:v>
      </x:c>
      <x:c r="B21" s="30" t="str">
        <x:v>低</x:v>
      </x:c>
      <x:c r="C21" s="30" t="str">
        <x:v>日期未过·资格待核</x:v>
      </x:c>
      <x:c r="D21" s="30" t="str">
        <x:v>上海科技大学 — 先进医用材料与医疗器械全国重点实验室（第二批重点开放）</x:v>
      </x:c>
      <x:c r="E21" s="30" t="str">
        <x:v>2026-10-09</x:v>
      </x:c>
      <x:c r="F21" s="30" t="str">
        <x:v>DR影像质量评估；但限定特定临床课题，含DR方向≥15家临床分中心</x:v>
      </x:c>
      <x:c r="G21" s="30" t="str">
        <x:v>官网未注明</x:v>
      </x:c>
      <x:c r="H21" s="30" t="str">
        <x:v>须联合全重固定成员；指定临床课题（DR方向≥15家分中心）</x:v>
      </x:c>
      <x:c r="I21" s="30" t="str">
        <x:v>查资格/联系实验室合作者</x:v>
      </x:c>
      <x:c r="J21" s="30" t="str">
        <x:v>https://www.shanghaitech.edu.cn/2026/0907/c1482a1126842/page.htm</x:v>
      </x:c>
      <x:c r="K21" s="30" t="str">
        <x:v>M003</x:v>
      </x:c>
    </x:row>
    <x:row r="22" ht="36" customHeight="1">
      <x:c r="A22" s="30" t="str">
        <x:v>近期候选</x:v>
      </x:c>
      <x:c r="B22" s="30" t="str">
        <x:v>低</x:v>
      </x:c>
      <x:c r="C22" s="30" t="str">
        <x:v>日期未过·资格待核</x:v>
      </x:c>
      <x:c r="D22" s="30" t="str">
        <x:v>中国科学院物理研究所</x:v>
      </x:c>
      <x:c r="E22" s="30" t="str">
        <x:v>2026-10-09</x:v>
      </x:c>
      <x:c r="F22" s="30" t="str">
        <x:v>匹配研究方向：物理凝聚态、材料与仪器方向；与超声机器人当前研究的关联较弱</x:v>
      </x:c>
      <x:c r="G22" s="30" t="str">
        <x:v>未记录／待核</x:v>
      </x:c>
      <x:c r="H22" s="30" t="str">
        <x:v>纸质1份（邮戳）和Word/扫描电子版需10月9日前；申请资格以完整官方指南为准</x:v>
      </x:c>
      <x:c r="I22" s="30" t="str">
        <x:v>查资格/联系实验室合作者</x:v>
      </x:c>
      <x:c r="J22" s="30" t="str">
        <x:v>https://www.iphy.ac.cn/xwzx/tzgg/202608/t20260827_8265708.html</x:v>
      </x:c>
      <x:c r="K22" s="30" t="str">
        <x:v>M140</x:v>
      </x:c>
    </x:row>
    <x:row r="23" ht="36" customHeight="1">
      <x:c r="A23" s="30" t="str">
        <x:v>近期候选</x:v>
      </x:c>
      <x:c r="B23" s="30" t="str">
        <x:v>低</x:v>
      </x:c>
      <x:c r="C23" s="30" t="str">
        <x:v>日期未过·资格待核</x:v>
      </x:c>
      <x:c r="D23" s="30" t="str">
        <x:v>南京航空航天大学 — 航空航天结构力学及控制全国重点实验室</x:v>
      </x:c>
      <x:c r="E23" s="30" t="str">
        <x:v>2026-10-10</x:v>
      </x:c>
      <x:c r="F23" s="30" t="str">
        <x:v>结构力学/动力学及控制；航空航天场景限定</x:v>
      </x:c>
      <x:c r="G23" s="30" t="str">
        <x:v>青年5–8万；面上10–12万；重点20–30万元</x:v>
      </x:c>
      <x:c r="H23" s="30" t="str">
        <x:v>须固定人员合作者；航空航天领域；电子和纸质双提交</x:v>
      </x:c>
      <x:c r="I23" s="30" t="str">
        <x:v>查资格/联系实验室合作者</x:v>
      </x:c>
      <x:c r="J23" s="30" t="str">
        <x:v>https://skl.nuaa.edu.cn/2026/0905/c4738a409560/page.htm</x:v>
      </x:c>
      <x:c r="K23" s="30" t="str">
        <x:v>M152</x:v>
      </x:c>
    </x:row>
    <x:row r="24" ht="36" customHeight="1">
      <x:c r="A24" s="30" t="str">
        <x:v>近期候选</x:v>
      </x:c>
      <x:c r="B24" s="30" t="str">
        <x:v>低</x:v>
      </x:c>
      <x:c r="C24" s="30" t="str">
        <x:v>日期未过·资格待核</x:v>
      </x:c>
      <x:c r="D24" s="30" t="str">
        <x:v>四川大学 — 深地科学与工程教育部重点实验室</x:v>
      </x:c>
      <x:c r="E24" s="30" t="str">
        <x:v>2026-10-10</x:v>
      </x:c>
      <x:c r="F24" s="30" t="str">
        <x:v>重大工程健康监测与智能评估、结构动力学、力学模型有方法交集，深地岩体/灾害对象与超声机器人差异显著</x:v>
      </x:c>
      <x:c r="G24" s="30" t="str">
        <x:v>一般3—4万元/项、预研2万元/项（历史记录）</x:v>
      </x:c>
      <x:c r="H24" s="30" t="str">
        <x:v>中级职称或在站博士后等；校外课题需以四川大学相关人员为第一合作申请人并获实验室指定</x:v>
      </x:c>
      <x:c r="I24" s="30" t="str">
        <x:v>查资格/联系实验室合作者</x:v>
      </x:c>
      <x:c r="J24" s="30" t="str">
        <x:v>https://duse.scu.edu.cn/News/tz/2026-09-09/261.html</x:v>
      </x:c>
      <x:c r="K24" s="30" t="str">
        <x:v>M163</x:v>
      </x:c>
    </x:row>
    <x:row r="25" ht="36" customHeight="1">
      <x:c r="A25" s="30" t="str">
        <x:v>近期候选</x:v>
      </x:c>
      <x:c r="B25" s="30" t="str">
        <x:v>低</x:v>
      </x:c>
      <x:c r="C25" s="30" t="str">
        <x:v>日期未过·资格待核</x:v>
      </x:c>
      <x:c r="D25" s="30" t="str">
        <x:v>中北大学 — 电子测试技术全国重点实验室</x:v>
      </x:c>
      <x:c r="E25" s="30" t="str">
        <x:v>2026-10-12</x:v>
      </x:c>
      <x:c r="F25" s="30" t="str">
        <x:v>智能测试、传感与测量技术；曾提不超过10万元</x:v>
      </x:c>
      <x:c r="G25" s="30" t="str">
        <x:v>未记录／待核</x:v>
      </x:c>
      <x:c r="H25" s="30" t="str">
        <x:v>申请资格/合作条件待核</x:v>
      </x:c>
      <x:c r="I25" s="30" t="str">
        <x:v>查资格/联系实验室合作者</x:v>
      </x:c>
      <x:c r="J25" s="30" t="str">
        <x:v>https://www.nuc.edu.cn/info/1014/62593.htm</x:v>
      </x:c>
      <x:c r="K25" s="30" t="str">
        <x:v>M107</x:v>
      </x:c>
    </x:row>
    <x:row r="26" ht="36" customHeight="1">
      <x:c r="A26" s="30" t="str">
        <x:v>近期候选</x:v>
      </x:c>
      <x:c r="B26" s="30" t="str">
        <x:v>低</x:v>
      </x:c>
      <x:c r="C26" s="30" t="str">
        <x:v>日期未过·资格待核</x:v>
      </x:c>
      <x:c r="D26" s="30" t="str">
        <x:v>中国科学院半导体研究所 — 光电子材料与器件全国重点实验室</x:v>
      </x:c>
      <x:c r="E26" s="30" t="str">
        <x:v>2026-10-12</x:v>
      </x:c>
      <x:c r="F26" s="30" t="str">
        <x:v>匹配研究方向：光电子材料、光电融合智能芯片系统；现有机器人申请书不直接契合</x:v>
      </x:c>
      <x:c r="G26" s="30" t="str">
        <x:v>未记录／待核</x:v>
      </x:c>
      <x:c r="H26" s="30" t="str">
        <x:v>申请资格/合作条件待核</x:v>
      </x:c>
      <x:c r="I26" s="30" t="str">
        <x:v>查资格/联系实验室合作者</x:v>
      </x:c>
      <x:c r="J26" s="30" t="str">
        <x:v>https://www.semi.ac.cn/tzgg/202609/t20260917_8284106.html</x:v>
      </x:c>
      <x:c r="K26" s="30" t="str">
        <x:v>M141</x:v>
      </x:c>
    </x:row>
    <x:row r="27" ht="36" customHeight="1">
      <x:c r="A27" s="30" t="str">
        <x:v>近期候选</x:v>
      </x:c>
      <x:c r="B27" s="30" t="str">
        <x:v>低</x:v>
      </x:c>
      <x:c r="C27" s="30" t="str">
        <x:v>日期未过·资格待核</x:v>
      </x:c>
      <x:c r="D27" s="30" t="str">
        <x:v>江汉大学 — 认知与情感障碍湖北省重点实验室</x:v>
      </x:c>
      <x:c r="E27" s="30" t="str">
        <x:v>2026-10-15</x:v>
      </x:c>
      <x:c r="F27" s="30" t="str">
        <x:v>多模态认知评估、疾病诊疗；现有超声机器人课题对象差异大</x:v>
      </x:c>
      <x:c r="G27" s="30" t="str">
        <x:v>未记录／待核</x:v>
      </x:c>
      <x:c r="H27" s="30" t="str">
        <x:v>申请资格/合作条件待核</x:v>
      </x:c>
      <x:c r="I27" s="30" t="str">
        <x:v>查资格/联系实验室合作者</x:v>
      </x:c>
      <x:c r="J27" s="30" t="str">
        <x:v>https://jdcad.jhun.edu.cn/8e/7b/c7392a233083/page.htm</x:v>
      </x:c>
      <x:c r="K27" s="30" t="str">
        <x:v>M113</x:v>
      </x:c>
    </x:row>
    <x:row r="28" ht="36" customHeight="1">
      <x:c r="A28" s="30" t="str">
        <x:v>近期候选</x:v>
      </x:c>
      <x:c r="B28" s="30" t="str">
        <x:v>低</x:v>
      </x:c>
      <x:c r="C28" s="30" t="str">
        <x:v>日期未过·资格待核</x:v>
      </x:c>
      <x:c r="D28" s="30" t="str">
        <x:v>浙江理工大学 — 教育部绿色纺织国际合作联合实验室（2027年度）</x:v>
      </x:c>
      <x:c r="E28" s="30" t="str">
        <x:v>2026-10-15</x:v>
      </x:c>
      <x:c r="F28" s="30" t="str">
        <x:v>纺织具身智能、机器视觉及纺织工控；纺织场景限定</x:v>
      </x:c>
      <x:c r="G28" s="30" t="str">
        <x:v>1–2万元/项</x:v>
      </x:c>
      <x:c r="H28" s="30" t="str">
        <x:v>必须纺织科研主题；须实验室成员合作；经费不外拨</x:v>
      </x:c>
      <x:c r="I28" s="30" t="str">
        <x:v>查资格/联系实验室合作者</x:v>
      </x:c>
      <x:c r="J28" s="30" t="str">
        <x:v>https://cmt.zstu.edu.cn/info/1085/5683.htm</x:v>
      </x:c>
      <x:c r="K28" s="30" t="str">
        <x:v>M142</x:v>
      </x:c>
    </x:row>
    <x:row r="29" ht="36" customHeight="1">
      <x:c r="A29" s="30" t="str">
        <x:v>近期候选</x:v>
      </x:c>
      <x:c r="B29" s="30" t="str">
        <x:v>低</x:v>
      </x:c>
      <x:c r="C29" s="30" t="str">
        <x:v>日期未过·资格待核</x:v>
      </x:c>
      <x:c r="D29" s="30" t="str">
        <x:v>国家科技信息资源综合利用与公共服务中心 — STI数字医疗实验室</x:v>
      </x:c>
      <x:c r="E29" s="30" t="str">
        <x:v>2026-10-16</x:v>
      </x:c>
      <x:c r="F29" s="30" t="str">
        <x:v>医疗健康干预、真实世界临床研究、预后预测、疾病数字化管理；与超声机器人控制应用场景仅间接相关</x:v>
      </x:c>
      <x:c r="G29" s="30" t="str">
        <x:v>原则上≤10万元/项</x:v>
      </x:c>
      <x:c r="H29" s="30" t="str">
        <x:v>博士或副高且主持过同类项目；必须具备真实临床研究及伦理合规条件</x:v>
      </x:c>
      <x:c r="I29" s="30" t="str">
        <x:v>查资格/联系实验室合作者</x:v>
      </x:c>
      <x:c r="J29" s="30" t="str">
        <x:v>https://www.stilab.ac.cn/newsDetail/f531f8734c554261a6e2a09a14099df1.html</x:v>
      </x:c>
      <x:c r="K29" s="30" t="str">
        <x:v>M191</x:v>
      </x:c>
    </x:row>
    <x:row r="30" ht="36" customHeight="1">
      <x:c r="A30" s="30" t="str">
        <x:v>近期候选</x:v>
      </x:c>
      <x:c r="B30" s="30" t="str">
        <x:v>低</x:v>
      </x:c>
      <x:c r="C30" s="30" t="str">
        <x:v>日期未过·资格待核</x:v>
      </x:c>
      <x:c r="D30" s="30" t="str">
        <x:v>中北大学 — 极限环境光电动态测试技术与仪器全国重点实验室</x:v>
      </x:c>
      <x:c r="E30" s="30" t="str">
        <x:v>2026-10-16</x:v>
      </x:c>
      <x:c r="F30" s="30" t="str">
        <x:v>高端光电动态测试与仪器；超声机器人拟申请书匹配较低，属全国广搜补漏</x:v>
      </x:c>
      <x:c r="G30" s="30" t="str">
        <x:v>未记录／待核</x:v>
      </x:c>
      <x:c r="H30" s="30" t="str">
        <x:v>成果和署名要求严格；以官方指南为准</x:v>
      </x:c>
      <x:c r="I30" s="30" t="str">
        <x:v>查资格/联系实验室合作者</x:v>
      </x:c>
      <x:c r="J30" s="30" t="str">
        <x:v>https://skl-dmt.nuc.edu.cn/info/1012/1894.htm</x:v>
      </x:c>
      <x:c r="K30" s="30" t="str">
        <x:v>M193</x:v>
      </x:c>
    </x:row>
    <x:row r="31" ht="36" customHeight="1">
      <x:c r="A31" s="30" t="str">
        <x:v>近期候选</x:v>
      </x:c>
      <x:c r="B31" s="30" t="str">
        <x:v>低</x:v>
      </x:c>
      <x:c r="C31" s="30" t="str">
        <x:v>日期未过·资格待核</x:v>
      </x:c>
      <x:c r="D31" s="30" t="str">
        <x:v>北京交通大学 — 先进轨道交通自主运行全国重点实验室</x:v>
      </x:c>
      <x:c r="E31" s="30" t="str">
        <x:v>2026-10-20</x:v>
      </x:c>
      <x:c r="F31" s="30" t="str">
        <x:v>轨交自主运行、协同控制、具身智能；轨道交通应用限定</x:v>
      </x:c>
      <x:c r="G31" s="30" t="str">
        <x:v>4–10万元/项</x:v>
      </x:c>
      <x:c r="H31" s="30" t="str">
        <x:v>副教授以上且博士；须开展客座交流；必须为轨交方向</x:v>
      </x:c>
      <x:c r="I31" s="30" t="str">
        <x:v>查资格/联系实验室合作者</x:v>
      </x:c>
      <x:c r="J31" s="30" t="str">
        <x:v>https://raolab.bjtu.edu.cn/news/3521.html</x:v>
      </x:c>
      <x:c r="K31" s="30" t="str">
        <x:v>M013</x:v>
      </x:c>
    </x:row>
    <x:row r="32" ht="36" customHeight="1">
      <x:c r="A32" s="30" t="str">
        <x:v>近期候选</x:v>
      </x:c>
      <x:c r="B32" s="30" t="str">
        <x:v>低</x:v>
      </x:c>
      <x:c r="C32" s="30" t="str">
        <x:v>日期未过·资格待核</x:v>
      </x:c>
      <x:c r="D32" s="30" t="str">
        <x:v>北京航空航天大学 — 空地一体新航行系统技术全国重点实验室</x:v>
      </x:c>
      <x:c r="E32" s="30" t="str">
        <x:v>2026-10-20</x:v>
      </x:c>
      <x:c r="F32" s="30" t="str">
        <x:v>自主规划；智能感知；安全控制</x:v>
      </x:c>
      <x:c r="G32" s="30" t="str">
        <x:v>未记录／待核</x:v>
      </x:c>
      <x:c r="H32" s="30" t="str">
        <x:v>航空场景受限</x:v>
      </x:c>
      <x:c r="I32" s="30" t="str">
        <x:v>查资格/联系实验室合作者</x:v>
      </x:c>
      <x:c r="J32" s="30" t="str">
        <x:v>https://www.ee.buaa.edu.cn/info/1061/20843.htm</x:v>
      </x:c>
      <x:c r="K32" s="30" t="str">
        <x:v>M015</x:v>
      </x:c>
    </x:row>
    <x:row r="33" ht="36" customHeight="1">
      <x:c r="A33" s="30" t="str">
        <x:v>近期候选</x:v>
      </x:c>
      <x:c r="B33" s="30" t="str">
        <x:v>低</x:v>
      </x:c>
      <x:c r="C33" s="30" t="str">
        <x:v>日期未过·资格待核</x:v>
      </x:c>
      <x:c r="D33" s="30" t="str">
        <x:v>华东师范大学 — 自然资源部超大城市自然资源时空大数据分析应用重点实验室</x:v>
      </x:c>
      <x:c r="E33" s="30" t="str">
        <x:v>2026-10-20</x:v>
      </x:c>
      <x:c r="F33" s="30" t="str">
        <x:v>时空数据、三维地理空间分析、大数据；与体表扫描/机器人控制实际研究对象不同</x:v>
      </x:c>
      <x:c r="G33" s="30" t="str">
        <x:v>3—5万元</x:v>
      </x:c>
      <x:c r="H33" s="30" t="str">
        <x:v>博士或高级职称；约3—5万元</x:v>
      </x:c>
      <x:c r="I33" s="30" t="str">
        <x:v>查资格/联系实验室合作者</x:v>
      </x:c>
      <x:c r="J33" s="30" t="str">
        <x:v>https://bigdata.ecnu.edu.cn/ee/2e/c43524a781870/page.htm</x:v>
      </x:c>
      <x:c r="K33" s="30" t="str">
        <x:v>M158</x:v>
      </x:c>
    </x:row>
    <x:row r="34" ht="36" customHeight="1">
      <x:c r="A34" s="30" t="str">
        <x:v>近期候选</x:v>
      </x:c>
      <x:c r="B34" s="30" t="str">
        <x:v>低</x:v>
      </x:c>
      <x:c r="C34" s="30" t="str">
        <x:v>日期未过·资格待核</x:v>
      </x:c>
      <x:c r="D34" s="30" t="str">
        <x:v>同济大学 — 土木工程防灾减灾全国重点实验室</x:v>
      </x:c>
      <x:c r="E34" s="30" t="str">
        <x:v>2026-10-25</x:v>
      </x:c>
      <x:c r="F34" s="30" t="str">
        <x:v>匹配研究方向：多源信息感知、结构力学建模、智能控制；指南具体课题均限定土木防灾</x:v>
      </x:c>
      <x:c r="G34" s="30" t="str">
        <x:v>经费25~30万元，2027-2029年（历史记录）</x:v>
      </x:c>
      <x:c r="H34" s="30" t="str">
        <x:v>申请资格/合作条件待核</x:v>
      </x:c>
      <x:c r="I34" s="30" t="str">
        <x:v>查资格/联系实验室合作者</x:v>
      </x:c>
      <x:c r="J34" s="30" t="str">
        <x:v>https://sldrce.tongji.edu.cn/d6/b7/c33242a382647/page.htm</x:v>
      </x:c>
      <x:c r="K34" s="30" t="str">
        <x:v>M143</x:v>
      </x:c>
    </x:row>
    <x:row r="35" ht="36" customHeight="1">
      <x:c r="A35" s="30" t="str">
        <x:v>近期候选</x:v>
      </x:c>
      <x:c r="B35" s="30" t="str">
        <x:v>低</x:v>
      </x:c>
      <x:c r="C35" s="30" t="str">
        <x:v>日期未过·资格待核</x:v>
      </x:c>
      <x:c r="D35" s="30" t="str">
        <x:v>烟台大学 — 山东省先进结构材料基因工程重点实验室</x:v>
      </x:c>
      <x:c r="E35" s="30" t="str">
        <x:v>2026-10-25</x:v>
      </x:c>
      <x:c r="F35" s="30" t="str">
        <x:v>匹配研究方向：多尺度有限元模拟、数据-机理融合、机器学习优化；必须面向先进结构材料</x:v>
      </x:c>
      <x:c r="G35" s="30" t="str">
        <x:v>未记录／待核</x:v>
      </x:c>
      <x:c r="H35" s="30" t="str">
        <x:v>申请资格/合作条件待核</x:v>
      </x:c>
      <x:c r="I35" s="30" t="str">
        <x:v>查资格/联系实验室合作者</x:v>
      </x:c>
      <x:c r="J35" s="30" t="str">
        <x:v>https://iaspm.ytu.edu.cn/info/1022/1653.htm</x:v>
      </x:c>
      <x:c r="K35" s="30" t="str">
        <x:v>M144</x:v>
      </x:c>
    </x:row>
    <x:row r="36" ht="36" customHeight="1">
      <x:c r="A36" s="30" t="str">
        <x:v>近期候选</x:v>
      </x:c>
      <x:c r="B36" s="30" t="str">
        <x:v>低</x:v>
      </x:c>
      <x:c r="C36" s="30" t="str">
        <x:v>日期未过·资格待核</x:v>
      </x:c>
      <x:c r="D36" s="30" t="str">
        <x:v>西南交通大学 — 轨道交通运载系统全国重点实验室</x:v>
      </x:c>
      <x:c r="E36" s="30" t="str">
        <x:v>2026-10-26</x:v>
      </x:c>
      <x:c r="F36" s="30" t="str">
        <x:v>动力学控制、具身智能运维；必须聚焦轨道交通运载系统</x:v>
      </x:c>
      <x:c r="G36" s="30" t="str">
        <x:v>8–10万元/项</x:v>
      </x:c>
      <x:c r="H36" s="30" t="str">
        <x:v>固定研究人员联合；第一单位为实验室；≥2篇论文</x:v>
      </x:c>
      <x:c r="I36" s="30" t="str">
        <x:v>查资格/联系实验室合作者</x:v>
      </x:c>
      <x:c r="J36" s="30" t="str">
        <x:v>https://rvl.swjtu.edu.cn/info/1030/20948.htm</x:v>
      </x:c>
      <x:c r="K36" s="30" t="str">
        <x:v>M105</x:v>
      </x:c>
    </x:row>
    <x:row r="37" ht="36" customHeight="1">
      <x:c r="A37" s="30" t="str">
        <x:v>近期候选</x:v>
      </x:c>
      <x:c r="B37" s="30" t="str">
        <x:v>低</x:v>
      </x:c>
      <x:c r="C37" s="30" t="str">
        <x:v>日期未过·资格待核</x:v>
      </x:c>
      <x:c r="D37" s="30" t="str">
        <x:v>西南石油大学 — 影像资料智能处理及融合应用技术四川省文化和旅游厅重点实验室</x:v>
      </x:c>
      <x:c r="E37" s="30" t="str">
        <x:v>2026-10-30</x:v>
      </x:c>
      <x:c r="F37" s="30" t="str">
        <x:v>匹配研究方向：影像智能处理、多模态融合；文化与旅游资料应用领域限定</x:v>
      </x:c>
      <x:c r="G37" s="30" t="str">
        <x:v>未记录／待核</x:v>
      </x:c>
      <x:c r="H37" s="30" t="str">
        <x:v>申请资格/合作条件待核</x:v>
      </x:c>
      <x:c r="I37" s="30" t="str">
        <x:v>查资格/联系实验室合作者</x:v>
      </x:c>
      <x:c r="J37" s="30" t="str">
        <x:v>https://www.swpu.edu.cn/rwskc/info/1013/4556.htm</x:v>
      </x:c>
      <x:c r="K37" s="30" t="str">
        <x:v>M145</x:v>
      </x:c>
    </x:row>
    <x:row r="38" ht="36" customHeight="1">
      <x:c r="A38" s="30" t="str">
        <x:v>近期候选</x:v>
      </x:c>
      <x:c r="B38" s="30" t="str">
        <x:v>低</x:v>
      </x:c>
      <x:c r="C38" s="30" t="str">
        <x:v>日期未过·资格待核</x:v>
      </x:c>
      <x:c r="D38" s="30" t="str">
        <x:v>武汉理工大学 — 交通物联网技术湖北省重点实验室</x:v>
      </x:c>
      <x:c r="E38" s="30" t="str">
        <x:v>2026-10-31</x:v>
      </x:c>
      <x:c r="F38" s="30" t="str">
        <x:v>多模态感知；智能信息处理；多源数据融合</x:v>
      </x:c>
      <x:c r="G38" s="30" t="str">
        <x:v>未记录／待核</x:v>
      </x:c>
      <x:c r="H38" s="30" t="str">
        <x:v>交通应用约束</x:v>
      </x:c>
      <x:c r="I38" s="30" t="str">
        <x:v>查资格/联系实验室合作者</x:v>
      </x:c>
      <x:c r="J38" s="30" t="str">
        <x:v>https://ai.whut.edu.cn/kxyj/kyzx/202608/t20260831_1414539.shtml</x:v>
      </x:c>
      <x:c r="K38" s="30" t="str">
        <x:v>M085</x:v>
      </x:c>
    </x:row>
    <x:row r="39" ht="36" customHeight="1">
      <x:c r="A39" s="30" t="str">
        <x:v>近期候选</x:v>
      </x:c>
      <x:c r="B39" s="30" t="str">
        <x:v>低</x:v>
      </x:c>
      <x:c r="C39" s="30" t="str">
        <x:v>日期未过·资格待核</x:v>
      </x:c>
      <x:c r="D39" s="30" t="str">
        <x:v>西南交通大学 — 磁浮技术与磁浮列车教育部重点实验室</x:v>
      </x:c>
      <x:c r="E39" s="30" t="str">
        <x:v>2026-11-10</x:v>
      </x:c>
      <x:c r="F39" s="30" t="str">
        <x:v>匹配研究方向：电磁驱动、磁浮交通运行控制；机器人控制可借用方法，但场景需变更</x:v>
      </x:c>
      <x:c r="G39" s="30" t="str">
        <x:v>重点6–8万元；一般4–5万元/项</x:v>
      </x:c>
      <x:c r="H39" s="30" t="str">
        <x:v>博士或副高；限定磁浮技术及磁浮交通应用场景</x:v>
      </x:c>
      <x:c r="I39" s="30" t="str">
        <x:v>查资格/联系实验室合作者</x:v>
      </x:c>
      <x:c r="J39" s="30" t="str">
        <x:v>https://jdcf.swjtu.edu.cn/info/1033/1624.htm</x:v>
      </x:c>
      <x:c r="K39" s="30" t="str">
        <x:v>M146</x:v>
      </x:c>
    </x:row>
    <x:row r="40" ht="36" customHeight="1">
      <x:c r="A40" s="30" t="str">
        <x:v>近期候选</x:v>
      </x:c>
      <x:c r="B40" s="30" t="str">
        <x:v>低</x:v>
      </x:c>
      <x:c r="C40" s="30" t="str">
        <x:v>日期未过·资格待核</x:v>
      </x:c>
      <x:c r="D40" s="30" t="str">
        <x:v>中国科学院山西煤炭化学研究所 — 煤炭高效低碳利用全国重点实验室（2027—2028年度）</x:v>
      </x:c>
      <x:c r="E40" s="30" t="str">
        <x:v>2026-11-10</x:v>
      </x:c>
      <x:c r="F40" s="30" t="str">
        <x:v>匹配研究方向：煤炭低碳利用；现有超声机器人方案无直接契合</x:v>
      </x:c>
      <x:c r="G40" s="30" t="str">
        <x:v>8–12万元/项</x:v>
      </x:c>
      <x:c r="H40" s="30" t="str">
        <x:v>副高及以上、近五年主持国家级项目；煤炭方向强限定</x:v>
      </x:c>
      <x:c r="I40" s="30" t="str">
        <x:v>查资格/联系实验室合作者</x:v>
      </x:c>
      <x:c r="J40" s="30" t="str">
        <x:v>https://sxicc.cas.cn/tz/temp/202609/t20260924_8286738.html</x:v>
      </x:c>
      <x:c r="K40" s="30" t="str">
        <x:v>M147</x:v>
      </x:c>
    </x:row>
    <x:row r="41" ht="36" customHeight="1">
      <x:c r="A41" s="30" t="str">
        <x:v>近期候选</x:v>
      </x:c>
      <x:c r="B41" s="30" t="str">
        <x:v>低</x:v>
      </x:c>
      <x:c r="C41" s="30" t="str">
        <x:v>日期未过·资格待核</x:v>
      </x:c>
      <x:c r="D41" s="30" t="str">
        <x:v>同济大学 — 脊柱脊髓损伤再生修复教育部重点实验室</x:v>
      </x:c>
      <x:c r="E41" s="30" t="str">
        <x:v>2026-11-15</x:v>
      </x:c>
      <x:c r="F41" s="30" t="str">
        <x:v>医学影像、活体成像和医学人工智能，但具体研究对象为脊柱脊髓损伤</x:v>
      </x:c>
      <x:c r="G41" s="30" t="str">
        <x:v>3—5万元/项，2年，课题获批后经费按实验室管理要求执行（历史记录）</x:v>
      </x:c>
      <x:c r="H41" s="30" t="str">
        <x:v>须聚焦脊髓损伤生理病理/再生修复；仅资助2项</x:v>
      </x:c>
      <x:c r="I41" s="30" t="str">
        <x:v>查资格/联系实验室合作者</x:v>
      </x:c>
      <x:c r="J41" s="30" t="str">
        <x:v>https://sci.tongji.edu.cn/info/1045/1499.htm</x:v>
      </x:c>
      <x:c r="K41" s="30" t="str">
        <x:v>M162</x:v>
      </x:c>
    </x:row>
    <x:row r="42" ht="36" customHeight="1">
      <x:c r="A42" s="30" t="str">
        <x:v>近期候选</x:v>
      </x:c>
      <x:c r="B42" s="30" t="str">
        <x:v>低</x:v>
      </x:c>
      <x:c r="C42" s="30" t="str">
        <x:v>日期未过·资格待核</x:v>
      </x:c>
      <x:c r="D42" s="30" t="str">
        <x:v>昆明理工大学 — 云南省复杂系统与类脑智能重点实验室（筹）</x:v>
      </x:c>
      <x:c r="E42" s="30" t="str">
        <x:v>2026-11-30</x:v>
      </x:c>
      <x:c r="F42" s="30" t="str">
        <x:v>高阶网络、脑功能网络与认知行为；与机器人控制弱相关</x:v>
      </x:c>
      <x:c r="G42" s="30" t="str">
        <x:v>面上≤3万元；重点≤5万元</x:v>
      </x:c>
      <x:c r="H42" s="30" t="str">
        <x:v>须主持过省部级项目+1篇SCI+固定成员合作</x:v>
      </x:c>
      <x:c r="I42" s="30" t="str">
        <x:v>查资格/联系实验室合作者</x:v>
      </x:c>
      <x:c r="J42" s="30" t="str">
        <x:v>https://lxy.kust.edu.cn/info/1151/2522.htm</x:v>
      </x:c>
      <x:c r="K42" s="30" t="str">
        <x:v>M153</x:v>
      </x:c>
    </x:row>
    <x:row r="43" ht="36" customHeight="1">
      <x:c r="A43" s="30" t="str">
        <x:v>待确认批次</x:v>
      </x:c>
      <x:c r="B43" s="30" t="str">
        <x:v>高</x:v>
      </x:c>
      <x:c r="C43" s="30" t="str">
        <x:v>日期不明·待核</x:v>
      </x:c>
      <x:c r="D43" s="30" t="str">
        <x:v>中国科学院力学研究所 — 超常环境非线性力学全国重点实验室</x:v>
      </x:c>
      <x:c r="E43" s="30" t="str">
        <x:v>未核实</x:v>
      </x:c>
      <x:c r="F43" s="30" t="str">
        <x:v>非线性固体/流固接触力学；物理建模；界面力学；一般课题可自主选题</x:v>
      </x:c>
      <x:c r="G43" s="30" t="str">
        <x:v>10万元、一般5万元</x:v>
      </x:c>
      <x:c r="H43" s="30" t="str">
        <x:v>2026年重点10万元、一般5万元，正式PDF附件截止日尚未读取</x:v>
      </x:c>
      <x:c r="I43" s="30" t="str">
        <x:v>定位年度公告及申报截止日期</x:v>
      </x:c>
      <x:c r="J43" s="30" t="str">
        <x:v>https://www.lnm.imech.cas.cn/kfkt/fxxlxgjzdsys/</x:v>
      </x:c>
      <x:c r="K43" s="30" t="str">
        <x:v>M007</x:v>
      </x:c>
    </x:row>
    <x:row r="44" ht="36" customHeight="1">
      <x:c r="A44" s="30" t="str">
        <x:v>待确认批次</x:v>
      </x:c>
      <x:c r="B44" s="30" t="str">
        <x:v>高</x:v>
      </x:c>
      <x:c r="C44" s="30" t="str">
        <x:v>日期不明·待核</x:v>
      </x:c>
      <x:c r="D44" s="30" t="str">
        <x:v>中国科学院沈阳自动化研究所 — 机器人与智能系统全国重点实验室</x:v>
      </x:c>
      <x:c r="E44" s="30" t="str">
        <x:v>未核实</x:v>
      </x:c>
      <x:c r="F44" s="30" t="str">
        <x:v>智能医疗机器人；力触觉反馈；柔性控制；人机协同；具身智能</x:v>
      </x:c>
      <x:c r="G44" s="30" t="str">
        <x:v>未记录／待核</x:v>
      </x:c>
      <x:c r="H44" s="30" t="str">
        <x:v>目前确认2025年度公告；下一年度尚待查</x:v>
      </x:c>
      <x:c r="I44" s="30" t="str">
        <x:v>定位年度公告及申报截止日期</x:v>
      </x:c>
      <x:c r="J44" s="30" t="str">
        <x:v>https://www.sia.ac.cn/xwzx/tzgg/202507/t20250711_7884994.html</x:v>
      </x:c>
      <x:c r="K44" s="30" t="str">
        <x:v>M031</x:v>
      </x:c>
    </x:row>
    <x:row r="45" ht="36" customHeight="1">
      <x:c r="A45" s="30" t="str">
        <x:v>待确认批次</x:v>
      </x:c>
      <x:c r="B45" s="30" t="str">
        <x:v>高</x:v>
      </x:c>
      <x:c r="C45" s="30" t="str">
        <x:v>日期不明·待核</x:v>
      </x:c>
      <x:c r="D45" s="30" t="str">
        <x:v>南京航空航天大学相关平台 — 先进制造智能化技术教育部重点实验室</x:v>
      </x:c>
      <x:c r="E45" s="30" t="str">
        <x:v>未核实</x:v>
      </x:c>
      <x:c r="F45" s="30" t="str">
        <x:v>面向智能组装的双臂机器人柔顺控制；模仿学习</x:v>
      </x:c>
      <x:c r="G45" s="30" t="str">
        <x:v>未记录／待核</x:v>
      </x:c>
      <x:c r="H45" s="30" t="str">
        <x:v>由教师履历证实存在2025开放课题；尚未查到实验室官网2026指南</x:v>
      </x:c>
      <x:c r="I45" s="30" t="str">
        <x:v>定位年度公告及申报截止日期</x:v>
      </x:c>
      <x:c r="J45" s="30" t="str">
        <x:v>https://faculty.nuaa.edu.cn/_resources/group1/M00/00/16/CgDSRGl3Ev-AebazAI9UVRbXF5M098.pdf</x:v>
      </x:c>
      <x:c r="K45" s="30" t="str">
        <x:v>M047</x:v>
      </x:c>
    </x:row>
    <x:row r="46" ht="36" customHeight="1">
      <x:c r="A46" s="30" t="str">
        <x:v>待确认批次</x:v>
      </x:c>
      <x:c r="B46" s="30" t="str">
        <x:v>高</x:v>
      </x:c>
      <x:c r="C46" s="30" t="str">
        <x:v>日期不明·待核</x:v>
      </x:c>
      <x:c r="D46" s="30" t="str">
        <x:v>上海交通大学医疗机器人研究院/同仁医院 — 上海市柔性医疗机器人重点实验室</x:v>
      </x:c>
      <x:c r="E46" s="30" t="str">
        <x:v>未核实</x:v>
      </x:c>
      <x:c r="F46" s="30" t="str">
        <x:v>柔性医疗机器人；人机协同；医疗影像导航；机器人柔顺控制</x:v>
      </x:c>
      <x:c r="G46" s="30" t="str">
        <x:v>未记录／待核</x:v>
      </x:c>
      <x:c r="H46" s="30" t="str">
        <x:v>官网显示2026-07-20开放课题栏目，2026年二季度有立项</x:v>
      </x:c>
      <x:c r="I46" s="30" t="str">
        <x:v>定位年度公告及申报截止日期</x:v>
      </x:c>
      <x:c r="J46" s="30" t="str">
        <x:v>https://imr.sjtu.edu.cn/</x:v>
      </x:c>
      <x:c r="K46" s="30" t="str">
        <x:v>M056</x:v>
      </x:c>
    </x:row>
    <x:row r="47" ht="36" customHeight="1">
      <x:c r="A47" s="30" t="str">
        <x:v>待确认批次</x:v>
      </x:c>
      <x:c r="B47" s="30" t="str">
        <x:v>高</x:v>
      </x:c>
      <x:c r="C47" s="30" t="str">
        <x:v>日期不明·待核</x:v>
      </x:c>
      <x:c r="D47" s="30" t="str">
        <x:v>澳门大学 — 应用物理及材料工程研究院开放研究项目</x:v>
      </x:c>
      <x:c r="E47" s="30" t="str">
        <x:v>未核实</x:v>
      </x:c>
      <x:c r="F47" s="30" t="str">
        <x:v>应用物理、材料工程；与超声机器人方法间接关联</x:v>
      </x:c>
      <x:c r="G47" s="30" t="str">
        <x:v>未记录／待核</x:v>
      </x:c>
      <x:c r="H47" s="30" t="str">
        <x:v>申请资格/合作条件待核</x:v>
      </x:c>
      <x:c r="I47" s="30" t="str">
        <x:v>定位年度公告及申报截止日期</x:v>
      </x:c>
      <x:c r="J47" s="30" t="str">
        <x:v>https://iapme.um.edu.mo/orp-2026-guidelines/?lang=zh-hant</x:v>
      </x:c>
      <x:c r="K47" s="30" t="str">
        <x:v>M123</x:v>
      </x:c>
    </x:row>
    <x:row r="48" ht="36" customHeight="1">
      <x:c r="A48" s="30" t="str">
        <x:v>待确认批次</x:v>
      </x:c>
      <x:c r="B48" s="30" t="str">
        <x:v>高</x:v>
      </x:c>
      <x:c r="C48" s="30" t="str">
        <x:v>日期不明·待核</x:v>
      </x:c>
      <x:c r="D48" s="30" t="str">
        <x:v>澳门大学 — 中药机制与质量全国重点实验室（2026）</x:v>
      </x:c>
      <x:c r="E48" s="30" t="str">
        <x:v>未核实</x:v>
      </x:c>
      <x:c r="F48" s="30" t="str">
        <x:v>匹配研究方向：中药机制、免疫调节、研究模型；与原超声机器人项目关联弱</x:v>
      </x:c>
      <x:c r="G48" s="30" t="str">
        <x:v>支持医院/养老院多模态具身定位，2~3万元/项。https://szmih.szcu.edu.cn/4135/list.htm（历史记录）</x:v>
      </x:c>
      <x:c r="H48" s="30" t="str">
        <x:v>申请资格/合作条件待核</x:v>
      </x:c>
      <x:c r="I48" s="30" t="str">
        <x:v>定位年度公告及申报截止日期</x:v>
      </x:c>
      <x:c r="J48" s="30" t="str">
        <x:v>https://sklmqcm.um.edu.mo/skl-orpp/?lang=zh-hant</x:v>
      </x:c>
      <x:c r="K48" s="30" t="str">
        <x:v>M151</x:v>
      </x:c>
    </x:row>
    <x:row r="49" ht="36" customHeight="1">
      <x:c r="A49" s="30" t="str">
        <x:v>待确认批次</x:v>
      </x:c>
      <x:c r="B49" s="30" t="str">
        <x:v>高</x:v>
      </x:c>
      <x:c r="C49" s="30" t="str">
        <x:v>日期不明·待核</x:v>
      </x:c>
      <x:c r="D49" s="30" t="str">
        <x:v>上海交通大学 — 射频异质异构集成全国重点实验室</x:v>
      </x:c>
      <x:c r="E49" s="30" t="str">
        <x:v>未核实</x:v>
      </x:c>
      <x:c r="F49" s="30" t="str">
        <x:v>多物理场耦合建模、射频测试；与组织接触/超声机器人应用对象差异较大</x:v>
      </x:c>
      <x:c r="G49" s="30" t="str">
        <x:v>未记录／待核</x:v>
      </x:c>
      <x:c r="H49" s="30" t="str">
        <x:v>具体申报日期和申请资格待从同一公告后续文本核实</x:v>
      </x:c>
      <x:c r="I49" s="30" t="str">
        <x:v>定位年度公告及申报截止日期</x:v>
      </x:c>
      <x:c r="J49" s="30" t="str">
        <x:v>https://rfhi.sjtu.edu.cn/show/183</x:v>
      </x:c>
      <x:c r="K49" s="30" t="str">
        <x:v>M155</x:v>
      </x:c>
    </x:row>
    <x:row r="50" ht="36" customHeight="1">
      <x:c r="A50" s="30" t="str">
        <x:v>待确认批次</x:v>
      </x:c>
      <x:c r="B50" s="30" t="str">
        <x:v>高</x:v>
      </x:c>
      <x:c r="C50" s="30" t="str">
        <x:v>日期不明·待核</x:v>
      </x:c>
      <x:c r="D50" s="30" t="str">
        <x:v>江南大学 — 康养智能化技术教育部工程研究中心</x:v>
      </x:c>
      <x:c r="E50" s="30" t="str">
        <x:v>未核实</x:v>
      </x:c>
      <x:c r="F50" s="30" t="str">
        <x:v>康养信息多模态、智能陪伴机器人、医学工程交叉；超声机器人仅部分技术相关</x:v>
      </x:c>
      <x:c r="G50" s="30" t="str">
        <x:v>未记录／待核</x:v>
      </x:c>
      <x:c r="H50" s="30" t="str">
        <x:v>最新截止日期、申报资格、经费需要另查2026/2027正式指南</x:v>
      </x:c>
      <x:c r="I50" s="30" t="str">
        <x:v>定位年度公告及申报截止日期</x:v>
      </x:c>
      <x:c r="J50" s="30" t="str">
        <x:v>https://ai.jiangnan.edu.cn/info/1037/1070.htm</x:v>
      </x:c>
      <x:c r="K50" s="30" t="str">
        <x:v>M156</x:v>
      </x:c>
    </x:row>
    <x:row r="51" ht="36" customHeight="1">
      <x:c r="A51" s="30" t="str">
        <x:v>待确认批次</x:v>
      </x:c>
      <x:c r="B51" s="30" t="str">
        <x:v>高</x:v>
      </x:c>
      <x:c r="C51" s="30" t="str">
        <x:v>日期不明·待核</x:v>
      </x:c>
      <x:c r="D51" s="30" t="str">
        <x:v>重庆大学 — 信息物理社会可信服务计算教育部重点实验室（CPS）</x:v>
      </x:c>
      <x:c r="E51" s="30" t="str">
        <x:v>未核实</x:v>
      </x:c>
      <x:c r="F51" s="30" t="str">
        <x:v>与申请书的匹配方向：机器人与智能系统、智能控制、强化学习与自主操作；官网有专门研究团队</x:v>
      </x:c>
      <x:c r="G51" s="30" t="str">
        <x:v>未记录／待核</x:v>
      </x:c>
      <x:c r="H51" s="30" t="str">
        <x:v>申请资格、合作与成果限制：章程称开放基金面向国内外研究人员；2026是否开放及具体资格待核</x:v>
      </x:c>
      <x:c r="I51" s="30" t="str">
        <x:v>定位年度公告及申报截止日期</x:v>
      </x:c>
      <x:c r="J51" s="30" t="str">
        <x:v>https://cps.cqu.edu.cn/</x:v>
      </x:c>
      <x:c r="K51" s="30" t="str">
        <x:v>M187</x:v>
      </x:c>
    </x:row>
    <x:row r="52" ht="36" customHeight="1">
      <x:c r="A52" s="30" t="str">
        <x:v>待确认批次</x:v>
      </x:c>
      <x:c r="B52" s="30" t="str">
        <x:v>高</x:v>
      </x:c>
      <x:c r="C52" s="30" t="str">
        <x:v>日期不明·待核</x:v>
      </x:c>
      <x:c r="D52" s="30" t="str">
        <x:v>华南理工大学 — 发光材料与器件全国重点实验室</x:v>
      </x:c>
      <x:c r="E52" s="30" t="str">
        <x:v>未核实</x:v>
      </x:c>
      <x:c r="F52" s="30" t="str">
        <x:v>与申请书的匹配方向：光电成像与智能传感、激光相关；与超声机器人建模控制关联弱，需严格匹配实验室光电主题</x:v>
      </x:c>
      <x:c r="G52" s="30" t="str">
        <x:v>2026-11-10 | 苏州大学·江苏省高校通用人工智能与大模型重点实验室（原有记录） | 方向：机器人具身智能、多模态、感知—决策—执行（历史记录）</x:v>
      </x:c>
      <x:c r="H52" s="30" t="str">
        <x:v>申请资格、合作与成果限制：有外校获批的公开案例；具体官方指南及资格待核</x:v>
      </x:c>
      <x:c r="I52" s="30" t="str">
        <x:v>定位年度公告及申报截止日期</x:v>
      </x:c>
      <x:c r="J52" s="30" t="str">
        <x:v>https://gxy.lsu.edu.cn/2026/0112/c503a362841/page.htm</x:v>
      </x:c>
      <x:c r="K52" s="30" t="str">
        <x:v>M188</x:v>
      </x:c>
    </x:row>
    <x:row r="53" ht="36" customHeight="1">
      <x:c r="A53" s="30" t="str">
        <x:v>待确认批次</x:v>
      </x:c>
      <x:c r="B53" s="30" t="str">
        <x:v>中</x:v>
      </x:c>
      <x:c r="C53" s="30" t="str">
        <x:v>日期不明·待核</x:v>
      </x:c>
      <x:c r="D53" s="30" t="str">
        <x:v>内蒙古第一机械集团有限公司等 — 特种车辆设计制造集成技术全国重点实验室</x:v>
      </x:c>
      <x:c r="E53" s="30" t="str">
        <x:v>未核实</x:v>
      </x:c>
      <x:c r="F53" s="30" t="str">
        <x:v>机器人驱动与控制；复杂装备机电耦合建模；机器视觉与三维定位</x:v>
      </x:c>
      <x:c r="G53" s="30" t="str">
        <x:v>未记录／待核</x:v>
      </x:c>
      <x:c r="H53" s="30" t="str">
        <x:v>论文引用2025年度开放课题GZ2025KF011；并非2026申请指南</x:v>
      </x:c>
      <x:c r="I53" s="30" t="str">
        <x:v>定位年度公告及申报截止日期</x:v>
      </x:c>
      <x:c r="J53" s="30" t="str">
        <x:v>https://www.cmemo.org.cn/CN/abstract/abstract10068.shtml</x:v>
      </x:c>
      <x:c r="K53" s="30" t="str">
        <x:v>M006</x:v>
      </x:c>
    </x:row>
    <x:row r="54" ht="36" customHeight="1">
      <x:c r="A54" s="30" t="str">
        <x:v>待确认批次</x:v>
      </x:c>
      <x:c r="B54" s="30" t="str">
        <x:v>中</x:v>
      </x:c>
      <x:c r="C54" s="30" t="str">
        <x:v>日期不明·待核</x:v>
      </x:c>
      <x:c r="D54" s="30" t="str">
        <x:v>浙江大学 — 流体动力基础件与机电系统全国重点实验室</x:v>
      </x:c>
      <x:c r="E54" s="30" t="str">
        <x:v>未核实</x:v>
      </x:c>
      <x:c r="F54" s="30" t="str">
        <x:v>机电系统智能控制；柔性执行器；复杂动力学</x:v>
      </x:c>
      <x:c r="G54" s="30" t="str">
        <x:v>未记录／待核</x:v>
      </x:c>
      <x:c r="H54" s="30" t="str">
        <x:v>申请资格/合作条件待核</x:v>
      </x:c>
      <x:c r="I54" s="30" t="str">
        <x:v>定位年度公告及申报截止日期</x:v>
      </x:c>
      <x:c r="J54" s="30" t="str">
        <x:v>https://sklofp.zju.edu.cn/skl/2026/0826/c28018a3196930/page.htm</x:v>
      </x:c>
      <x:c r="K54" s="30" t="str">
        <x:v>M026</x:v>
      </x:c>
    </x:row>
    <x:row r="55" ht="36" customHeight="1">
      <x:c r="A55" s="30" t="str">
        <x:v>待确认批次</x:v>
      </x:c>
      <x:c r="B55" s="30" t="str">
        <x:v>中</x:v>
      </x:c>
      <x:c r="C55" s="30" t="str">
        <x:v>日期不明·待核</x:v>
      </x:c>
      <x:c r="D55" s="30" t="str">
        <x:v>郑州大学相关教育部工程中心 — 智能集群系统教育部工程研究中心（具身智能开放课题）</x:v>
      </x:c>
      <x:c r="E55" s="30" t="str">
        <x:v>未核实</x:v>
      </x:c>
      <x:c r="F55" s="30" t="str">
        <x:v>人形机器人本体；机器人场景应用；具身学习</x:v>
      </x:c>
      <x:c r="G55" s="30" t="str">
        <x:v>未记录／待核</x:v>
      </x:c>
      <x:c r="H55" s="30" t="str">
        <x:v>仅面向河南省高校/企业；未核到正式指南</x:v>
      </x:c>
      <x:c r="I55" s="30" t="str">
        <x:v>定位年度公告及申报截止日期</x:v>
      </x:c>
      <x:c r="J55" s="30" t="str">
        <x:v>https://i.460.net.cn/a/563644.html</x:v>
      </x:c>
      <x:c r="K55" s="30" t="str">
        <x:v>M049</x:v>
      </x:c>
    </x:row>
    <x:row r="56" ht="36" customHeight="1">
      <x:c r="A56" s="30" t="str">
        <x:v>待确认批次</x:v>
      </x:c>
      <x:c r="B56" s="30" t="str">
        <x:v>中</x:v>
      </x:c>
      <x:c r="C56" s="30" t="str">
        <x:v>仅机制/批次待核</x:v>
      </x:c>
      <x:c r="D56" s="30" t="str">
        <x:v>青海师范大学 — 藏文信息处理教育部重点实验室</x:v>
      </x:c>
      <x:c r="E56" s="30" t="str">
        <x:v>未核实</x:v>
      </x:c>
      <x:c r="F56" s="30" t="str">
        <x:v>跨域小样本图像分割；多模态模式识别（仅算法间接）</x:v>
      </x:c>
      <x:c r="G56" s="30" t="str">
        <x:v>未记录／待核</x:v>
      </x:c>
      <x:c r="H56" s="30" t="str">
        <x:v>已发布2026年立项；主要NLP/跨域视觉，算法层面匹配</x:v>
      </x:c>
      <x:c r="I56" s="30" t="str">
        <x:v>定位年度公告及申报截止日期</x:v>
      </x:c>
      <x:c r="J56" s="30" t="str">
        <x:v>https://kjc.qhnu.edu.cn/info/1062/2244.htm</x:v>
      </x:c>
      <x:c r="K56" s="30" t="str">
        <x:v>M055</x:v>
      </x:c>
    </x:row>
    <x:row r="57" ht="36" customHeight="1">
      <x:c r="A57" s="30" t="str">
        <x:v>待确认批次</x:v>
      </x:c>
      <x:c r="B57" s="30" t="str">
        <x:v>中</x:v>
      </x:c>
      <x:c r="C57" s="30" t="str">
        <x:v>日期不明·待核</x:v>
      </x:c>
      <x:c r="D57" s="30" t="str">
        <x:v>广东华中科技大学工业技术研究院 — 广东省制造装备数字化重点实验室</x:v>
      </x:c>
      <x:c r="E57" s="30" t="str">
        <x:v>未核实</x:v>
      </x:c>
      <x:c r="F57" s="30" t="str">
        <x:v>无人自主控制；移动机器人；工业数字化</x:v>
      </x:c>
      <x:c r="G57" s="30" t="str">
        <x:v>未记录／待核</x:v>
      </x:c>
      <x:c r="H57" s="30" t="str">
        <x:v>官方页面证明2026年度开放课题评议，不是申请指南</x:v>
      </x:c>
      <x:c r="I57" s="30" t="str">
        <x:v>定位年度公告及申报截止日期</x:v>
      </x:c>
      <x:c r="J57" s="30" t="str">
        <x:v>https://www.girirobot.com/View/Article/ArticleDetail.aspx?id=2394</x:v>
      </x:c>
      <x:c r="K57" s="30" t="str">
        <x:v>M069</x:v>
      </x:c>
    </x:row>
    <x:row r="58" ht="36" customHeight="1">
      <x:c r="A58" s="30" t="str">
        <x:v>待确认批次</x:v>
      </x:c>
      <x:c r="B58" s="30" t="str">
        <x:v>中</x:v>
      </x:c>
      <x:c r="C58" s="30" t="str">
        <x:v>日期不明·待核</x:v>
      </x:c>
      <x:c r="D58" s="30" t="str">
        <x:v>苏州城市学院 — 苏州市多模态数据融合与智慧康养重点实验室</x:v>
      </x:c>
      <x:c r="E58" s="30" t="str">
        <x:v>未核实</x:v>
      </x:c>
      <x:c r="F58" s="30" t="str">
        <x:v>多模态健康数据融合；医学智能感知；智慧康养</x:v>
      </x:c>
      <x:c r="G58" s="30" t="str">
        <x:v>未记录／待核</x:v>
      </x:c>
      <x:c r="H58" s="30" t="str">
        <x:v>官方2026公告已发布，页面内尚未核得截止日期</x:v>
      </x:c>
      <x:c r="I58" s="30" t="str">
        <x:v>定位年度公告及申报截止日期</x:v>
      </x:c>
      <x:c r="J58" s="30" t="str">
        <x:v>https://szmih.szcu.edu.cn/4135/list.htm</x:v>
      </x:c>
      <x:c r="K58" s="30" t="str">
        <x:v>M075</x:v>
      </x:c>
    </x:row>
    <x:row r="59" ht="36" customHeight="1">
      <x:c r="A59" s="30" t="str">
        <x:v>待确认批次</x:v>
      </x:c>
      <x:c r="B59" s="30" t="str">
        <x:v>中</x:v>
      </x:c>
      <x:c r="C59" s="30" t="str">
        <x:v>日期不明·待核</x:v>
      </x:c>
      <x:c r="D59" s="30" t="str">
        <x:v>武汉工程大学 — 智能机器人湖北省重点实验室</x:v>
      </x:c>
      <x:c r="E59" s="30" t="str">
        <x:v>未核实</x:v>
      </x:c>
      <x:c r="F59" s="30" t="str">
        <x:v>机器人视觉、运动规划、智能控制、机器学习</x:v>
      </x:c>
      <x:c r="G59" s="30" t="str">
        <x:v>校外开放5项/每项1万元/2年（历史记录）</x:v>
      </x:c>
      <x:c r="H59" s="30" t="str">
        <x:v>申请资格/合作条件待核</x:v>
      </x:c>
      <x:c r="I59" s="30" t="str">
        <x:v>定位年度公告及申报截止日期</x:v>
      </x:c>
      <x:c r="J59" s="30" t="str">
        <x:v>https://robot.wit.edu.cn/info/1017/1532.htm</x:v>
      </x:c>
      <x:c r="K59" s="30" t="str">
        <x:v>M084</x:v>
      </x:c>
    </x:row>
    <x:row r="60" ht="36" customHeight="1">
      <x:c r="A60" s="30" t="str">
        <x:v>待确认批次</x:v>
      </x:c>
      <x:c r="B60" s="30" t="str">
        <x:v>中</x:v>
      </x:c>
      <x:c r="C60" s="30" t="str">
        <x:v>仅机制/批次待核</x:v>
      </x:c>
      <x:c r="D60" s="30" t="str">
        <x:v>南昌大学 — 智能机器人江西省重点实验室</x:v>
      </x:c>
      <x:c r="E60" s="30" t="str">
        <x:v>未核实</x:v>
      </x:c>
      <x:c r="F60" s="30" t="str">
        <x:v>智能机器人、运动控制、感知与交互</x:v>
      </x:c>
      <x:c r="G60" s="30" t="str">
        <x:v>未记录／待核</x:v>
      </x:c>
      <x:c r="H60" s="30" t="str">
        <x:v>申请资格/合作条件待核</x:v>
      </x:c>
      <x:c r="I60" s="30" t="str">
        <x:v>定位年度公告及申报截止日期</x:v>
      </x:c>
      <x:c r="J60" s="30" t="str">
        <x:v>https://jdgcxy.ncu.edu.cn/xwzx/tzgg/f268976adfb14c5aa8625c7930563f9f.htm</x:v>
      </x:c>
      <x:c r="K60" s="30" t="str">
        <x:v>M112</x:v>
      </x:c>
    </x:row>
    <x:row r="61" ht="36" customHeight="1">
      <x:c r="A61" s="30" t="str">
        <x:v>待确认批次</x:v>
      </x:c>
      <x:c r="B61" s="30" t="str">
        <x:v>中</x:v>
      </x:c>
      <x:c r="C61" s="30" t="str">
        <x:v>日期不明·待核</x:v>
      </x:c>
      <x:c r="D61" s="30" t="str">
        <x:v>同济大学 — 自主智能无人系统全国重点实验室</x:v>
      </x:c>
      <x:c r="E61" s="30" t="str">
        <x:v>未核实</x:v>
      </x:c>
      <x:c r="F61" s="30" t="str">
        <x:v>自主智能机器人、无人系统、感知规划控制</x:v>
      </x:c>
      <x:c r="G61" s="30" t="str">
        <x:v>未记录／待核</x:v>
      </x:c>
      <x:c r="H61" s="30" t="str">
        <x:v>申请资格/合作条件待核</x:v>
      </x:c>
      <x:c r="I61" s="30" t="str">
        <x:v>定位年度公告及申报截止日期</x:v>
      </x:c>
      <x:c r="J61" s="30" t="str">
        <x:v>https://skl-ais.tongji.edu.cn/77/69/c32347a358249/page.htm</x:v>
      </x:c>
      <x:c r="K61" s="30" t="str">
        <x:v>M115</x:v>
      </x:c>
    </x:row>
    <x:row r="62" ht="36" customHeight="1">
      <x:c r="A62" s="30" t="str">
        <x:v>待确认批次</x:v>
      </x:c>
      <x:c r="B62" s="30" t="str">
        <x:v>中</x:v>
      </x:c>
      <x:c r="C62" s="30" t="str">
        <x:v>日期不明·待核</x:v>
      </x:c>
      <x:c r="D62" s="30" t="str">
        <x:v>吉林大学 — 工程仿生教育部重点实验室</x:v>
      </x:c>
      <x:c r="E62" s="30" t="str">
        <x:v>未核实</x:v>
      </x:c>
      <x:c r="F62" s="30" t="str">
        <x:v>工程仿生、智能感知与机器人潜在交集</x:v>
      </x:c>
      <x:c r="G62" s="30" t="str">
        <x:v>未记录／待核</x:v>
      </x:c>
      <x:c r="H62" s="30" t="str">
        <x:v>申请资格/合作条件待核</x:v>
      </x:c>
      <x:c r="I62" s="30" t="str">
        <x:v>定位年度公告及申报截止日期</x:v>
      </x:c>
      <x:c r="J62" s="30" t="str">
        <x:v>https://bionic.jlu.edu.cn/info/1041/1662.htm</x:v>
      </x:c>
      <x:c r="K62" s="30" t="str">
        <x:v>M116</x:v>
      </x:c>
    </x:row>
    <x:row r="63" ht="36" customHeight="1">
      <x:c r="A63" s="30" t="str">
        <x:v>待确认批次</x:v>
      </x:c>
      <x:c r="B63" s="30" t="str">
        <x:v>中</x:v>
      </x:c>
      <x:c r="C63" s="30" t="str">
        <x:v>日期不明·待核</x:v>
      </x:c>
      <x:c r="D63" s="30" t="str">
        <x:v>清华大学 — 互联网体系结构全国重点实验室</x:v>
      </x:c>
      <x:c r="E63" s="30" t="str">
        <x:v>未核实</x:v>
      </x:c>
      <x:c r="F63" s="30" t="str">
        <x:v>网络体系结构与安全等；机器人课题关联弱</x:v>
      </x:c>
      <x:c r="G63" s="30" t="str">
        <x:v>未记录／待核</x:v>
      </x:c>
      <x:c r="H63" s="30" t="str">
        <x:v>申请资格/合作条件待核</x:v>
      </x:c>
      <x:c r="I63" s="30" t="str">
        <x:v>定位年度公告及申报截止日期</x:v>
      </x:c>
      <x:c r="J63" s="30" t="str">
        <x:v>https://www.insc.tsinghua.edu.cn/info/1192/4432.htm</x:v>
      </x:c>
      <x:c r="K63" s="30" t="str">
        <x:v>M119</x:v>
      </x:c>
    </x:row>
    <x:row r="64" ht="36" customHeight="1">
      <x:c r="A64" s="30" t="str">
        <x:v>待确认批次</x:v>
      </x:c>
      <x:c r="B64" s="30" t="str">
        <x:v>中</x:v>
      </x:c>
      <x:c r="C64" s="30" t="str">
        <x:v>日期不明·待核</x:v>
      </x:c>
      <x:c r="D64" s="30" t="str">
        <x:v>南京邮电大学 — 江苏省大数据安全与智能处理重点实验室</x:v>
      </x:c>
      <x:c r="E64" s="30" t="str">
        <x:v>未核实</x:v>
      </x:c>
      <x:c r="F64" s="30" t="str">
        <x:v>数据处理、智能感知、AI计算，与机器人多模态方法有交集</x:v>
      </x:c>
      <x:c r="G64" s="30" t="str">
        <x:v>未记录／待核</x:v>
      </x:c>
      <x:c r="H64" s="30" t="str">
        <x:v>经费/申报资格/限制：须继续查看正式申报指南、申请资格和是否受理外单位人员</x:v>
      </x:c>
      <x:c r="I64" s="30" t="str">
        <x:v>定位年度公告及申报截止日期</x:v>
      </x:c>
      <x:c r="J64" s="30" t="str">
        <x:v>https://bdsip.njupt.edu.cn/kfkt/list.htm</x:v>
      </x:c>
      <x:c r="K64" s="30" t="str">
        <x:v>M181</x:v>
      </x:c>
    </x:row>
    <x:row r="65" ht="36" customHeight="1">
      <x:c r="A65" s="30" t="str">
        <x:v>待确认批次</x:v>
      </x:c>
      <x:c r="B65" s="30" t="str">
        <x:v>低</x:v>
      </x:c>
      <x:c r="C65" s="30" t="str">
        <x:v>日期不明·待核</x:v>
      </x:c>
      <x:c r="D65" s="30" t="str">
        <x:v>中国科学院计算技术研究所 — 处理器芯片全国重点实验室</x:v>
      </x:c>
      <x:c r="E65" s="30" t="str">
        <x:v>未核实</x:v>
      </x:c>
      <x:c r="F65" s="30" t="str">
        <x:v>具身VLA模型动作生成、实时高效推理；重点在芯片和算力</x:v>
      </x:c>
      <x:c r="G65" s="30" t="str">
        <x:v>未记录／待核</x:v>
      </x:c>
      <x:c r="H65" s="30" t="str">
        <x:v>申请资格/合作条件待核</x:v>
      </x:c>
      <x:c r="I65" s="30" t="str">
        <x:v>定位年度公告及申报截止日期</x:v>
      </x:c>
      <x:c r="J65" s="30" t="str">
        <x:v>https://sklp.ict.ac.cn/yxgl/kfkt/zntg/202606/t20260609_841349.html</x:v>
      </x:c>
      <x:c r="K65" s="30" t="str">
        <x:v>M010</x:v>
      </x:c>
    </x:row>
    <x:row r="66" ht="36" customHeight="1">
      <x:c r="A66" s="30" t="str">
        <x:v>待确认批次</x:v>
      </x:c>
      <x:c r="B66" s="30" t="str">
        <x:v>低</x:v>
      </x:c>
      <x:c r="C66" s="30" t="str">
        <x:v>日期不明·待核</x:v>
      </x:c>
      <x:c r="D66" s="30" t="str">
        <x:v>浙江大学 — 工业控制技术全国重点实验室（湖控专项）</x:v>
      </x:c>
      <x:c r="E66" s="30" t="str">
        <x:v>未核实</x:v>
      </x:c>
      <x:c r="F66" s="30" t="str">
        <x:v>先进控制；智能动态优化；智能无人系统</x:v>
      </x:c>
      <x:c r="G66" s="30" t="str">
        <x:v>未记录／待核</x:v>
      </x:c>
      <x:c r="H66" s="30" t="str">
        <x:v>湖控专项限湖州本地高校/企业，外部非湖州申请人通常不符合</x:v>
      </x:c>
      <x:c r="I66" s="30" t="str">
        <x:v>定位年度公告及申报截止日期</x:v>
      </x:c>
      <x:c r="J66" s="30" t="str">
        <x:v>https://sklict.zju.edu.cn/85587/list.htm</x:v>
      </x:c>
      <x:c r="K66" s="30" t="str">
        <x:v>M025</x:v>
      </x:c>
    </x:row>
    <x:row r="67" ht="36" customHeight="1">
      <x:c r="A67" s="30" t="str">
        <x:v>待确认批次</x:v>
      </x:c>
      <x:c r="B67" s="30" t="str">
        <x:v>低</x:v>
      </x:c>
      <x:c r="C67" s="30" t="str">
        <x:v>仅机制/批次待核</x:v>
      </x:c>
      <x:c r="D67" s="30" t="str">
        <x:v>华中科技大学 — 强电磁技术全国重点实验室</x:v>
      </x:c>
      <x:c r="E67" s="30" t="str">
        <x:v>未核实</x:v>
      </x:c>
      <x:c r="F67" s="30" t="str">
        <x:v>动态耦合建模与控制；非线性系统优化（仅方法）</x:v>
      </x:c>
      <x:c r="G67" s="30" t="str">
        <x:v>未记录／待核</x:v>
      </x:c>
      <x:c r="H67" s="30" t="str">
        <x:v>指南课题主题为强电磁装置，与医疗机器人应用差异大</x:v>
      </x:c>
      <x:c r="I67" s="30" t="str">
        <x:v>定位年度公告及申报截止日期</x:v>
      </x:c>
      <x:c r="J67" s="30" t="str">
        <x:v>https://seee.hust.edu.cn/seee/info/1062/19373.htm</x:v>
      </x:c>
      <x:c r="K67" s="30" t="str">
        <x:v>M028</x:v>
      </x:c>
    </x:row>
    <x:row r="68" ht="36" customHeight="1">
      <x:c r="A68" s="30" t="str">
        <x:v>待确认批次</x:v>
      </x:c>
      <x:c r="B68" s="30" t="str">
        <x:v>低</x:v>
      </x:c>
      <x:c r="C68" s="30" t="str">
        <x:v>日期不明·待核</x:v>
      </x:c>
      <x:c r="D68" s="30" t="str">
        <x:v>沈阳化工大学科技处转发 — 煤炭智能开采与岩层控制全国重点实验室</x:v>
      </x:c>
      <x:c r="E68" s="30" t="str">
        <x:v>未核实</x:v>
      </x:c>
      <x:c r="F68" s="30" t="str">
        <x:v>柔顺阻抗自适应控制；非线性接触动力学；扰动补偿</x:v>
      </x:c>
      <x:c r="G68" s="30" t="str">
        <x:v>未记录／待核</x:v>
      </x:c>
      <x:c r="H68" s="30" t="str">
        <x:v>转发页；实际依托单位待核</x:v>
      </x:c>
      <x:c r="I68" s="30" t="str">
        <x:v>定位年度公告及申报截止日期</x:v>
      </x:c>
      <x:c r="J68" s="30" t="str">
        <x:v>https://keyanchu.syuct.edu.cn/info/1028/1957.htm</x:v>
      </x:c>
      <x:c r="K68" s="30" t="str">
        <x:v>M032</x:v>
      </x:c>
    </x:row>
    <x:row r="69" ht="36" customHeight="1">
      <x:c r="A69" s="30" t="str">
        <x:v>待确认批次</x:v>
      </x:c>
      <x:c r="B69" s="30" t="str">
        <x:v>低</x:v>
      </x:c>
      <x:c r="C69" s="30" t="str">
        <x:v>日期不明·待核</x:v>
      </x:c>
      <x:c r="D69" s="30" t="str">
        <x:v>新疆工程学院 — 新疆煤炭资源绿色开采教育部重点实验室</x:v>
      </x:c>
      <x:c r="E69" s="30" t="str">
        <x:v>未核实</x:v>
      </x:c>
      <x:c r="F69" s="30" t="str">
        <x:v>智能化开采；矿山设备控制；复杂系统感知</x:v>
      </x:c>
      <x:c r="G69" s="30" t="str">
        <x:v>未记录／待核</x:v>
      </x:c>
      <x:c r="H69" s="30" t="str">
        <x:v>矿业方向约束</x:v>
      </x:c>
      <x:c r="I69" s="30" t="str">
        <x:v>定位年度公告及申报截止日期</x:v>
      </x:c>
      <x:c r="J69" s="30" t="str">
        <x:v>https://www.xjie.edu.cn/info/1061/15798.htm</x:v>
      </x:c>
      <x:c r="K69" s="30" t="str">
        <x:v>M044</x:v>
      </x:c>
    </x:row>
    <x:row r="70" ht="36" customHeight="1">
      <x:c r="A70" s="30" t="str">
        <x:v>待确认批次</x:v>
      </x:c>
      <x:c r="B70" s="30" t="str">
        <x:v>低</x:v>
      </x:c>
      <x:c r="C70" s="30" t="str">
        <x:v>日期不明·待核</x:v>
      </x:c>
      <x:c r="D70" s="30" t="str">
        <x:v>青海大学 — 新能源电力系统智慧运行教育部重点实验室</x:v>
      </x:c>
      <x:c r="E70" s="30" t="str">
        <x:v>未核实</x:v>
      </x:c>
      <x:c r="F70" s="30" t="str">
        <x:v>智能控制与复杂系统动态优化；机理模型与数据融合</x:v>
      </x:c>
      <x:c r="G70" s="30" t="str">
        <x:v>未记录／待核</x:v>
      </x:c>
      <x:c r="H70" s="30" t="str">
        <x:v>非机器人方向；内部合作，经费不外拨</x:v>
      </x:c>
      <x:c r="I70" s="30" t="str">
        <x:v>定位年度公告及申报截止日期</x:v>
      </x:c>
      <x:c r="J70" s="30" t="str">
        <x:v>https://www.iktbl.com/?p=4981</x:v>
      </x:c>
      <x:c r="K70" s="30" t="str">
        <x:v>M054</x:v>
      </x:c>
    </x:row>
    <x:row r="71" ht="36" customHeight="1">
      <x:c r="A71" s="30" t="str">
        <x:v>待确认批次</x:v>
      </x:c>
      <x:c r="B71" s="30" t="str">
        <x:v>低</x:v>
      </x:c>
      <x:c r="C71" s="30" t="str">
        <x:v>日期不明·待核</x:v>
      </x:c>
      <x:c r="D71" s="30" t="str">
        <x:v>吉林大学 — 汽车底盘集成与仿生全国重点实验室</x:v>
      </x:c>
      <x:c r="E71" s="30" t="str">
        <x:v>未核实</x:v>
      </x:c>
      <x:c r="F71" s="30" t="str">
        <x:v>运动控制、智能系统、仿生；汽车领域限定</x:v>
      </x:c>
      <x:c r="G71" s="30" t="str">
        <x:v>未记录／待核</x:v>
      </x:c>
      <x:c r="H71" s="30" t="str">
        <x:v>申请资格/合作条件待核</x:v>
      </x:c>
      <x:c r="I71" s="30" t="str">
        <x:v>定位年度公告及申报截止日期</x:v>
      </x:c>
      <x:c r="J71" s="30" t="str">
        <x:v>https://www.ascl.jlu.edu.cn/info/1041/1563.htm</x:v>
      </x:c>
      <x:c r="K71" s="30" t="str">
        <x:v>M117</x:v>
      </x:c>
    </x:row>
    <x:row r="72" ht="36" customHeight="1">
      <x:c r="A72" s="30" t="str">
        <x:v>待确认批次</x:v>
      </x:c>
      <x:c r="B72" s="30" t="str">
        <x:v>低</x:v>
      </x:c>
      <x:c r="C72" s="30" t="str">
        <x:v>日期不明·待核</x:v>
      </x:c>
      <x:c r="D72" s="30" t="str">
        <x:v>四川·西华大学 — 流体及动力机械教育部重点实验室及相关两平台共享2026开放课题线索</x:v>
      </x:c>
      <x:c r="E72" s="30" t="str">
        <x:v>未核实</x:v>
      </x:c>
      <x:c r="F72" s="30" t="str">
        <x:v>方向/边界：流体动力学、动力装备智能控制；主要研究对象为能源与流体机械</x:v>
      </x:c>
      <x:c r="G72" s="30" t="str">
        <x:v>未记录／待核</x:v>
      </x:c>
      <x:c r="H72" s="30" t="str">
        <x:v>资助/资格/证据：搜索摘要识别校级开放课题相关公告，官网返回412；未核附件和截止日期</x:v>
      </x:c>
      <x:c r="I72" s="30" t="str">
        <x:v>定位年度公告及申报截止日期</x:v>
      </x:c>
      <x:c r="J72" s="30" t="str">
        <x:v>https://klab.xhu.edu.cn/9e/eb/c2100a237291/page.htm</x:v>
      </x:c>
      <x:c r="K72" s="30" t="str">
        <x:v>M135</x:v>
      </x:c>
    </x:row>
    <x:row r="73" ht="36" customHeight="1">
      <x:c r="A73" s="30" t="str">
        <x:v>待确认批次</x:v>
      </x:c>
      <x:c r="B73" s="30" t="str">
        <x:v>低</x:v>
      </x:c>
      <x:c r="C73" s="30" t="str">
        <x:v>日期不明·待核</x:v>
      </x:c>
      <x:c r="D73" s="30" t="str">
        <x:v>南京大学 — 生命分析化学全国重点实验室</x:v>
      </x:c>
      <x:c r="E73" s="30" t="str">
        <x:v>未核实</x:v>
      </x:c>
      <x:c r="F73" s="30" t="str">
        <x:v>生物分析、医学分析技术；超声图像与临床诊疗仅间接相关</x:v>
      </x:c>
      <x:c r="G73" s="30" t="str">
        <x:v>未记录／待核</x:v>
      </x:c>
      <x:c r="H73" s="30" t="str">
        <x:v>经费/申报资格/限制：官网称每年10月启动、12月底结束，但不是特定2026年申报指南；不得据此认定本年度已开放</x:v>
      </x:c>
      <x:c r="I73" s="30" t="str">
        <x:v>定位年度公告及申报截止日期</x:v>
      </x:c>
      <x:c r="J73" s="30" t="str">
        <x:v>https://sklac.nju.edu.cn/fc/a5/c34723a588965/page.htm</x:v>
      </x:c>
      <x:c r="K73" s="30" t="str">
        <x:v>M179</x:v>
      </x:c>
    </x:row>
    <x:row r="74" ht="36" customHeight="1">
      <x:c r="A74" s="30" t="str">
        <x:v>待确认批次</x:v>
      </x:c>
      <x:c r="B74" s="30" t="str">
        <x:v>低</x:v>
      </x:c>
      <x:c r="C74" s="30" t="str">
        <x:v>日期不明·待核</x:v>
      </x:c>
      <x:c r="D74" s="30" t="str">
        <x:v>江南大学 — 生态纺织教育部重点实验室</x:v>
      </x:c>
      <x:c r="E74" s="30" t="str">
        <x:v>未核实</x:v>
      </x:c>
      <x:c r="F74" s="30" t="str">
        <x:v>柔性纺织材料、机械测量，远离超声机器人核心场景</x:v>
      </x:c>
      <x:c r="G74" s="30" t="str">
        <x:v>未记录／待核</x:v>
      </x:c>
      <x:c r="H74" s="30" t="str">
        <x:v>经费/申报资格/限制：长期管理办法载申报期；需要查询2026正式公告和当年具体指南</x:v>
      </x:c>
      <x:c r="I74" s="30" t="str">
        <x:v>定位年度公告及申报截止日期</x:v>
      </x:c>
      <x:c r="J74" s="30" t="str">
        <x:v>https://klet.jiangnan.edu.cn/gzzd/stfzjybzdsys_jndx_kfktglbf.htm</x:v>
      </x:c>
      <x:c r="K74" s="30" t="str">
        <x:v>M180</x:v>
      </x:c>
    </x:row>
    <x:row r="75" ht="36" customHeight="1">
      <x:c r="A75" s="30" t="str">
        <x:v>待确认批次</x:v>
      </x:c>
      <x:c r="B75" s="30" t="str">
        <x:v>低</x:v>
      </x:c>
      <x:c r="C75" s="30" t="str">
        <x:v>日期不明·待核</x:v>
      </x:c>
      <x:c r="D75" s="30" t="str">
        <x:v>澳门科技大学 — 月球与行星科学国家重点实验室</x:v>
      </x:c>
      <x:c r="E75" s="30" t="str">
        <x:v>未核实</x:v>
      </x:c>
      <x:c r="F75" s="30" t="str">
        <x:v>智能探测、空间数据分析；月球行星科研方向，与超声机器人相差很大</x:v>
      </x:c>
      <x:c r="G75" s="30" t="str">
        <x:v>未记录／待核</x:v>
      </x:c>
      <x:c r="H75" s="30" t="str">
        <x:v>经费/申报资格/限制：学校官网有开放课题入口，但本轮未查出具体有效的2026/2027申请指南；不列当前机会</x:v>
      </x:c>
      <x:c r="I75" s="30" t="str">
        <x:v>定位年度公告及申报截止日期</x:v>
      </x:c>
      <x:c r="J75" s="30" t="str">
        <x:v>https://www.must.edu.mo/ssi/course/phd-application</x:v>
      </x:c>
      <x:c r="K75" s="30" t="str">
        <x:v>M182</x:v>
      </x:c>
    </x:row>
    <x:row r="76" ht="36" customHeight="1">
      <x:c r="A76" s="30" t="str">
        <x:v>待确认批次</x:v>
      </x:c>
      <x:c r="B76" s="30" t="str">
        <x:v>低</x:v>
      </x:c>
      <x:c r="C76" s="30" t="str">
        <x:v>日期不明·待核</x:v>
      </x:c>
      <x:c r="D76" s="30" t="str">
        <x:v>重庆大学 — 山区土木工程安全与韧性全国重点实验室</x:v>
      </x:c>
      <x:c r="E76" s="30" t="str">
        <x:v>未核实</x:v>
      </x:c>
      <x:c r="F76" s="30" t="str">
        <x:v>与申请书的匹配方向：山区智能建造装备及机器人、智能材料与系统、安全监测；强制土木工程应用背景</x:v>
      </x:c>
      <x:c r="G76" s="30" t="str">
        <x:v>未记录／待核</x:v>
      </x:c>
      <x:c r="H76" s="30" t="str">
        <x:v>申请资格、合作与成果限制：外部申请条件需看完整年度指南</x:v>
      </x:c>
      <x:c r="I76" s="30" t="str">
        <x:v>定位年度公告及申报截止日期</x:v>
      </x:c>
      <x:c r="J76" s="30" t="str">
        <x:v>https://civil.cqu.edu.cn/info/1327/17713.htm</x:v>
      </x:c>
      <x:c r="K76" s="30" t="str">
        <x:v>M189</x:v>
      </x:c>
    </x:row>
    <x:row r="77" ht="36" customHeight="1">
      <x:c r="A77" s="30" t="str">
        <x:v>待确认批次</x:v>
      </x:c>
      <x:c r="B77" s="30" t="str">
        <x:v>低</x:v>
      </x:c>
      <x:c r="C77" s="30" t="str">
        <x:v>日期不明·待核</x:v>
      </x:c>
      <x:c r="D77" s="30" t="str">
        <x:v>南京大学</x:v>
      </x:c>
      <x:c r="E77" s="30" t="str">
        <x:v>未核实</x:v>
      </x:c>
      <x:c r="F77" s="30" t="str">
        <x:v>物理、材料微结构为主，与超声机器人现有科学问题匹配较低；按广泛发现原则收录，非申报优先。</x:v>
      </x:c>
      <x:c r="G77" s="30" t="str">
        <x:v>2026-11-10 | 苏州大学·江苏省高校通用人工智能与大模型重点实验室（原有记录） | 方向：机器人具身智能、多模态、感知—决策—执行（历史记录）</x:v>
      </x:c>
      <x:c r="H77" s="30" t="str">
        <x:v>申请资格/合作条件待核</x:v>
      </x:c>
      <x:c r="I77" s="30" t="str">
        <x:v>定位年度公告及申报截止日期</x:v>
      </x:c>
      <x:c r="J77" s="30" t="str">
        <x:v>https://vlssm.nju.edu.cn/ad/6d/c22710a830829/page.htm</x:v>
      </x:c>
      <x:c r="K77" s="30" t="str">
        <x:v>M194</x:v>
      </x:c>
    </x:row>
    <x:row r="78" ht="36" customHeight="1">
      <x:c r="A78" s="30" t="str">
        <x:v>历史储备</x:v>
      </x:c>
      <x:c r="B78" s="30" t="str">
        <x:v>高</x:v>
      </x:c>
      <x:c r="C78" s="30" t="str">
        <x:v>已截止·历史储备</x:v>
      </x:c>
      <x:c r="D78" s="30" t="str">
        <x:v>中国科学院深圳先进技术研究院 — 广东省机器人与智能系统重点实验室（智能仿生研究中心）</x:v>
      </x:c>
      <x:c r="E78" s="30" t="str">
        <x:v>2023-10-15</x:v>
      </x:c>
      <x:c r="F78" s="30" t="str">
        <x:v>与申请书的匹配方向：康复机器人、软体机器人、智能视觉与检测、外骨骼、人机交互，直接关联机器人柔顺操作</x:v>
      </x:c>
      <x:c r="G78" s="30" t="str">
        <x:v>未记录／待核</x:v>
      </x:c>
      <x:c r="H78" s="30" t="str">
        <x:v>申请资格、合作与成果限制：国内外研究人员；博士或中级职称</x:v>
      </x:c>
      <x:c r="I78" s="30" t="str">
        <x:v>关注下一年度开放指南</x:v>
      </x:c>
      <x:c r="J78" s="30" t="str">
        <x:v>https://znfs.siat.ac.cn/index.php?category_id=0&amp;id=280&amp;r=page%2Fshow&amp;type=5</x:v>
      </x:c>
      <x:c r="K78" s="30" t="str">
        <x:v>M186</x:v>
      </x:c>
    </x:row>
    <x:row r="79" ht="36" customHeight="1">
      <x:c r="A79" s="30" t="str">
        <x:v>历史储备</x:v>
      </x:c>
      <x:c r="B79" s="30" t="str">
        <x:v>高</x:v>
      </x:c>
      <x:c r="C79" s="30" t="str">
        <x:v>已截止·历史储备</x:v>
      </x:c>
      <x:c r="D79" s="30" t="str">
        <x:v>哈尔滨工业大学 — 机器人技术与系统全国重点实验室</x:v>
      </x:c>
      <x:c r="E79" s="30" t="str">
        <x:v>2025-10-31</x:v>
      </x:c>
      <x:c r="F79" s="30" t="str">
        <x:v>医疗机器人；多模态实时建模；机器人自主学习；行为优化与控制</x:v>
      </x:c>
      <x:c r="G79" s="30" t="str">
        <x:v>未记录／待核</x:v>
      </x:c>
      <x:c r="H79" s="30" t="str">
        <x:v>博士或高级职称；实验室固定成员合作</x:v>
      </x:c>
      <x:c r="I79" s="30" t="str">
        <x:v>关注下一年度开放指南</x:v>
      </x:c>
      <x:c r="J79" s="30" t="str">
        <x:v>https://robot.hit.edu.cn/2025/1015/c277a379743/page.htm</x:v>
      </x:c>
      <x:c r="K79" s="30" t="str">
        <x:v>M034</x:v>
      </x:c>
    </x:row>
    <x:row r="80" ht="36" customHeight="1">
      <x:c r="A80" s="30" t="str">
        <x:v>历史储备</x:v>
      </x:c>
      <x:c r="B80" s="30" t="str">
        <x:v>高</x:v>
      </x:c>
      <x:c r="C80" s="30" t="str">
        <x:v>已截止·历史储备</x:v>
      </x:c>
      <x:c r="D80" s="30" t="str">
        <x:v>哈尔滨工业大学（深圳） — 先进运动控制技术与现代自动化装备重点实验室</x:v>
      </x:c>
      <x:c r="E80" s="30" t="str">
        <x:v>2026-01-05</x:v>
      </x:c>
      <x:c r="F80" s="30" t="str">
        <x:v>医疗机器人、自适应预测控制、强化学习、鲁棒控制、柔性操作</x:v>
      </x:c>
      <x:c r="G80" s="30" t="str">
        <x:v>未记录／待核</x:v>
      </x:c>
      <x:c r="H80" s="30" t="str">
        <x:v>申请资格/合作条件待核</x:v>
      </x:c>
      <x:c r="I80" s="30" t="str">
        <x:v>关注下一年度开放指南</x:v>
      </x:c>
      <x:c r="J80" s="30" t="str">
        <x:v>https://intelligence.hitsz.edu.cn/currency.jsp?urltype=news.NewsContentUrl&amp;wbnewsid=1661&amp;wbtreeid=1259</x:v>
      </x:c>
      <x:c r="K80" s="30" t="str">
        <x:v>M108</x:v>
      </x:c>
    </x:row>
    <x:row r="81" ht="36" customHeight="1">
      <x:c r="A81" s="30" t="str">
        <x:v>历史储备</x:v>
      </x:c>
      <x:c r="B81" s="30" t="str">
        <x:v>高</x:v>
      </x:c>
      <x:c r="C81" s="30" t="str">
        <x:v>已截止·历史储备</x:v>
      </x:c>
      <x:c r="D81" s="30" t="str">
        <x:v>澳门大学 — 模拟与混合信号集成电路全国重点实验室（SKL-AMSV）</x:v>
      </x:c>
      <x:c r="E81" s="30" t="str">
        <x:v>2026-02-28</x:v>
      </x:c>
      <x:c r="F81" s="30" t="str">
        <x:v>人工智能、医学电子和微流控芯片，与医疗机器人的感知/装备有局部交集，但不支持原有机器人系统控制核心目标</x:v>
      </x:c>
      <x:c r="G81" s="30" t="str">
        <x:v>最高澳门币10万元/项，期限一般24个月（历史记录）</x:v>
      </x:c>
      <x:c r="H81" s="30" t="str">
        <x:v>境内外大学、科研机构等研究人员；博士学位或助理教授及以上</x:v>
      </x:c>
      <x:c r="I81" s="30" t="str">
        <x:v>关注下一年度开放指南</x:v>
      </x:c>
      <x:c r="J81" s="30" t="str">
        <x:v>https://ime.um.edu.mo/zh-hans/open-research-project/guidelines/</x:v>
      </x:c>
      <x:c r="K81" s="30" t="str">
        <x:v>M164</x:v>
      </x:c>
    </x:row>
    <x:row r="82" ht="36" customHeight="1">
      <x:c r="A82" s="30" t="str">
        <x:v>历史储备</x:v>
      </x:c>
      <x:c r="B82" s="30" t="str">
        <x:v>高</x:v>
      </x:c>
      <x:c r="C82" s="30" t="str">
        <x:v>已截止·历史储备</x:v>
      </x:c>
      <x:c r="D82" s="30" t="str">
        <x:v>华中师范大学 — 智能健康交叉科学中心（开放课题）</x:v>
      </x:c>
      <x:c r="E82" s="30" t="str">
        <x:v>2026-04-03</x:v>
      </x:c>
      <x:c r="F82" s="30" t="str">
        <x:v>医学智能与健康工程交叉，需进一步阅读完整研究指南；不得根据中心名称断言超声机器人可以直接申报</x:v>
      </x:c>
      <x:c r="G82" s="30" t="str">
        <x:v>未记录／待核</x:v>
      </x:c>
      <x:c r="H82" s="30" t="str">
        <x:v>原通知网页存在访问权限限制，申请资格与资助额度待查</x:v>
      </x:c>
      <x:c r="I82" s="30" t="str">
        <x:v>关注下一年度开放指南</x:v>
      </x:c>
      <x:c r="J82" s="30" t="str">
        <x:v>https://ihealth.ccnu.edu.cn/kxyj/kfkt.htm</x:v>
      </x:c>
      <x:c r="K82" s="30" t="str">
        <x:v>M166</x:v>
      </x:c>
    </x:row>
    <x:row r="83" ht="36" customHeight="1">
      <x:c r="A83" s="30" t="str">
        <x:v>历史储备</x:v>
      </x:c>
      <x:c r="B83" s="30" t="str">
        <x:v>高</x:v>
      </x:c>
      <x:c r="C83" s="30" t="str">
        <x:v>已截止·历史储备</x:v>
      </x:c>
      <x:c r="D83" s="30" t="str">
        <x:v>中国科学院自动化研究所 — 多模态人工智能系统全国重点实验室</x:v>
      </x:c>
      <x:c r="E83" s="30" t="str">
        <x:v>2026-05-29</x:v>
      </x:c>
      <x:c r="F83" s="30" t="str">
        <x:v>医疗机器人；具身智能；感知-决策-控制闭环；强化学习；多模态世界模型</x:v>
      </x:c>
      <x:c r="G83" s="30" t="str">
        <x:v>未记录／待核</x:v>
      </x:c>
      <x:c r="H83" s="30" t="str">
        <x:v>原则上40周岁及以下；与固定成员联合申报</x:v>
      </x:c>
      <x:c r="I83" s="30" t="str">
        <x:v>关注下一年度开放指南</x:v>
      </x:c>
      <x:c r="J83" s="30" t="str">
        <x:v>https://www.ia.cas.cn/qtgn/tzgg/202605/t20260515_8202627.html</x:v>
      </x:c>
      <x:c r="K83" s="30" t="str">
        <x:v>M009</x:v>
      </x:c>
    </x:row>
    <x:row r="84" ht="36" customHeight="1">
      <x:c r="A84" s="30" t="str">
        <x:v>历史储备</x:v>
      </x:c>
      <x:c r="B84" s="30" t="str">
        <x:v>高</x:v>
      </x:c>
      <x:c r="C84" s="30" t="str">
        <x:v>已截止·历史储备</x:v>
      </x:c>
      <x:c r="D84" s="30" t="str">
        <x:v>西北工业大学宁波研究院 — 全省高性能MEMS芯片规模制造技术重点实验室</x:v>
      </x:c>
      <x:c r="E84" s="30" t="str">
        <x:v>2026-05-31</x:v>
      </x:c>
      <x:c r="F84" s="30" t="str">
        <x:v>多传感器融合；压电动态声感测量；医疗诊断传感器；与超声机器人感知端间接关联</x:v>
      </x:c>
      <x:c r="G84" s="30" t="str">
        <x:v>1.5万、重点3万</x:v>
      </x:c>
      <x:c r="H84" s="30" t="str">
        <x:v>校外硕士以上、一般不超过45周岁；一般1.5万、重点3万</x:v>
      </x:c>
      <x:c r="I84" s="30" t="str">
        <x:v>关注下一年度开放指南</x:v>
      </x:c>
      <x:c r="J84" s="30" t="str">
        <x:v>https://ningbo.nwpu.edu.cn/info/1013/5119.htm</x:v>
      </x:c>
      <x:c r="K84" s="30" t="str">
        <x:v>M104</x:v>
      </x:c>
    </x:row>
    <x:row r="85" ht="36" customHeight="1">
      <x:c r="A85" s="30" t="str">
        <x:v>历史储备</x:v>
      </x:c>
      <x:c r="B85" s="30" t="str">
        <x:v>高</x:v>
      </x:c>
      <x:c r="C85" s="30" t="str">
        <x:v>已截止·历史储备</x:v>
      </x:c>
      <x:c r="D85" s="30" t="str">
        <x:v>桂林电子科技大学 — 广西高校智能综合自动化重点实验室</x:v>
      </x:c>
      <x:c r="E85" s="30" t="str">
        <x:v>2026-07-25</x:v>
      </x:c>
      <x:c r="F85" s="30" t="str">
        <x:v>机器人视觉-力觉融合；自适应鲁棒控制；医疗机器人</x:v>
      </x:c>
      <x:c r="G85" s="30" t="str">
        <x:v>未记录／待核</x:v>
      </x:c>
      <x:c r="H85" s="30" t="str">
        <x:v>申请资格/合作条件待核</x:v>
      </x:c>
      <x:c r="I85" s="30" t="str">
        <x:v>关注下一年度开放指南</x:v>
      </x:c>
      <x:c r="J85" s="30" t="str">
        <x:v>https://www.guet.edu.cn/dept8/_t30/2026/0706/c1177a157316/page.htm</x:v>
      </x:c>
      <x:c r="K85" s="30" t="str">
        <x:v>M070</x:v>
      </x:c>
    </x:row>
    <x:row r="86" ht="36" customHeight="1">
      <x:c r="A86" s="30" t="str">
        <x:v>历史储备</x:v>
      </x:c>
      <x:c r="B86" s="30" t="str">
        <x:v>高</x:v>
      </x:c>
      <x:c r="C86" s="30" t="str">
        <x:v>已截止·历史储备</x:v>
      </x:c>
      <x:c r="D86" s="30" t="str">
        <x:v>苏州大学 — 江苏省具身智能机器人技术重点实验室</x:v>
      </x:c>
      <x:c r="E86" s="30" t="str">
        <x:v>2026-07-31</x:v>
      </x:c>
      <x:c r="F86" s="30" t="str">
        <x:v>医疗机器人；具身决策控制；柔性传感；人机交互</x:v>
      </x:c>
      <x:c r="G86" s="30" t="str">
        <x:v>未记录／待核</x:v>
      </x:c>
      <x:c r="H86" s="30" t="str">
        <x:v>须为实验室外部科研人员；博士或中级以上职称</x:v>
      </x:c>
      <x:c r="I86" s="30" t="str">
        <x:v>关注下一年度开放指南</x:v>
      </x:c>
      <x:c r="J86" s="30" t="str">
        <x:v>https://jdxy.suda.edu.cn/_t1815/be/36/c12042a704054/page.psp</x:v>
      </x:c>
      <x:c r="K86" s="30" t="str">
        <x:v>M076</x:v>
      </x:c>
    </x:row>
    <x:row r="87" ht="36" customHeight="1">
      <x:c r="A87" s="30" t="str">
        <x:v>历史储备</x:v>
      </x:c>
      <x:c r="B87" s="30" t="str">
        <x:v>高</x:v>
      </x:c>
      <x:c r="C87" s="30" t="str">
        <x:v>已截止·历史储备</x:v>
      </x:c>
      <x:c r="D87" s="30" t="str">
        <x:v>湖北工业大学 — 现代制造质量工程湖北省重点实验室</x:v>
      </x:c>
      <x:c r="E87" s="30" t="str">
        <x:v>2026-08-15</x:v>
      </x:c>
      <x:c r="F87" s="30" t="str">
        <x:v>医疗机器人/康复工程；机电智能控制；机器视觉</x:v>
      </x:c>
      <x:c r="G87" s="30" t="str">
        <x:v>未记录／待核</x:v>
      </x:c>
      <x:c r="H87" s="30" t="str">
        <x:v>博士；与本室或机械学院教师合作</x:v>
      </x:c>
      <x:c r="I87" s="30" t="str">
        <x:v>关注下一年度开放指南</x:v>
      </x:c>
      <x:c r="J87" s="30" t="str">
        <x:v>https://mmqe.hbut.edu.cn/info/1047/2232.htm</x:v>
      </x:c>
      <x:c r="K87" s="30" t="str">
        <x:v>M086</x:v>
      </x:c>
    </x:row>
    <x:row r="88" ht="36" customHeight="1">
      <x:c r="A88" s="30" t="str">
        <x:v>历史储备</x:v>
      </x:c>
      <x:c r="B88" s="30" t="str">
        <x:v>高</x:v>
      </x:c>
      <x:c r="C88" s="30" t="str">
        <x:v>已截止·历史储备</x:v>
      </x:c>
      <x:c r="D88" s="30" t="str">
        <x:v>深圳市人工智能与机器人研究院AIRS — 医疗机器人方向开放课题</x:v>
      </x:c>
      <x:c r="E88" s="30" t="str">
        <x:v>2026-08-15</x:v>
      </x:c>
      <x:c r="F88" s="30" t="str">
        <x:v>支气管镜机器人感知导航；智能控制；医学影像融合；医疗机器人交叉</x:v>
      </x:c>
      <x:c r="G88" s="30" t="str">
        <x:v>10万元/项、1年</x:v>
      </x:c>
      <x:c r="H88" s="30" t="str">
        <x:v>2026年度医疗机器人方向；博士或副高原则要求</x:v>
      </x:c>
      <x:c r="I88" s="30" t="str">
        <x:v>关注下一年度开放指南</x:v>
      </x:c>
      <x:c r="J88" s="30" t="str">
        <x:v>https://airs.cuhk.edu.cn/article/1429</x:v>
      </x:c>
      <x:c r="K88" s="30" t="str">
        <x:v>M098</x:v>
      </x:c>
    </x:row>
    <x:row r="89" ht="36" customHeight="1">
      <x:c r="A89" s="30" t="str">
        <x:v>历史储备</x:v>
      </x:c>
      <x:c r="B89" s="30" t="str">
        <x:v>高</x:v>
      </x:c>
      <x:c r="C89" s="30" t="str">
        <x:v>已截止·历史储备</x:v>
      </x:c>
      <x:c r="D89" s="30" t="str">
        <x:v>南京信息工程大学 — 复杂环境智能保障技术教育部重点实验室</x:v>
      </x:c>
      <x:c r="E89" s="30" t="str">
        <x:v>2026-08-17</x:v>
      </x:c>
      <x:c r="F89" s="30" t="str">
        <x:v>与申请书的匹配方向：复杂环境下自跟随机器人目标跟踪；机器人视觉感知、位姿跟踪和控制；项目对象并非超声机器人</x:v>
      </x:c>
      <x:c r="G89" s="30" t="str">
        <x:v>5万重点/2万一般（历史记录）</x:v>
      </x:c>
      <x:c r="H89" s="30" t="str">
        <x:v>申请资格、合作与成果限制：中国籍；博士或副高</x:v>
      </x:c>
      <x:c r="I89" s="30" t="str">
        <x:v>关注下一年度开放指南</x:v>
      </x:c>
      <x:c r="J89" s="30" t="str">
        <x:v>https://dxy.nuist.edu.cn/__local/5/05/2C/AB442E1AE16238E9C6A85742E7E_F0A9F1C8_33976.pdf</x:v>
      </x:c>
      <x:c r="K89" s="30" t="str">
        <x:v>M185</x:v>
      </x:c>
    </x:row>
    <x:row r="90" ht="36" customHeight="1">
      <x:c r="A90" s="30" t="str">
        <x:v>历史储备</x:v>
      </x:c>
      <x:c r="B90" s="30" t="str">
        <x:v>高</x:v>
      </x:c>
      <x:c r="C90" s="30" t="str">
        <x:v>已截止·历史储备</x:v>
      </x:c>
      <x:c r="D90" s="30" t="str">
        <x:v>四川警察学院 — 智能警务四川省重点实验室</x:v>
      </x:c>
      <x:c r="E90" s="30" t="str">
        <x:v>2026-09-07</x:v>
      </x:c>
      <x:c r="F90" s="30" t="str">
        <x:v>突发事件智能感知、物证检测、公共安全；与医疗机器人原研究对象明显不符</x:v>
      </x:c>
      <x:c r="G90" s="30" t="str">
        <x:v>10万/重点15万/青年5万</x:v>
      </x:c>
      <x:c r="H90" s="30" t="str">
        <x:v>面上10万/重点15万/青年5万；需校内固定成员</x:v>
      </x:c>
      <x:c r="I90" s="30" t="str">
        <x:v>关注下一年度开放指南</x:v>
      </x:c>
      <x:c r="J90" s="30" t="str">
        <x:v>https://ipklsc.scpolicec.edu.cn/info/1038/1985.htm</x:v>
      </x:c>
      <x:c r="K90" s="30" t="str">
        <x:v>M157</x:v>
      </x:c>
    </x:row>
    <x:row r="91" ht="36" customHeight="1">
      <x:c r="A91" s="30" t="str">
        <x:v>历史储备</x:v>
      </x:c>
      <x:c r="B91" s="30" t="str">
        <x:v>高</x:v>
      </x:c>
      <x:c r="C91" s="30" t="str">
        <x:v>已截止·历史储备</x:v>
      </x:c>
      <x:c r="D91" s="30" t="str">
        <x:v>南京信息工程大学 — 风险治理与应急决策研究院</x:v>
      </x:c>
      <x:c r="E91" s="30" t="str">
        <x:v>2026-09-18</x:v>
      </x:c>
      <x:c r="F91" s="30" t="str">
        <x:v>智能风险分析与应急决策；与超声机器人直接匹配低</x:v>
      </x:c>
      <x:c r="G91" s="30" t="str">
        <x:v>未记录／待核</x:v>
      </x:c>
      <x:c r="H91" s="30" t="str">
        <x:v>经费/申报资格/限制：面向校内，不属于外部研究人员可申请开放基金</x:v>
      </x:c>
      <x:c r="I91" s="30" t="str">
        <x:v>关注下一年度开放指南</x:v>
      </x:c>
      <x:c r="J91" s="30" t="str">
        <x:v>https://smse.nuist.edu.cn/info/1081/7576.htm</x:v>
      </x:c>
      <x:c r="K91" s="30" t="str">
        <x:v>M184</x:v>
      </x:c>
    </x:row>
    <x:row r="92" ht="36" customHeight="1">
      <x:c r="A92" s="30" t="str">
        <x:v>历史储备</x:v>
      </x:c>
      <x:c r="B92" s="30" t="str">
        <x:v>高</x:v>
      </x:c>
      <x:c r="C92" s="30" t="str">
        <x:v>已截止·历史储备</x:v>
      </x:c>
      <x:c r="D92" s="30" t="str">
        <x:v>西北工业大学 — 空天地海一体化大数据应用技术国家工程实验室</x:v>
      </x:c>
      <x:c r="E92" s="30" t="str">
        <x:v>2026-09-20</x:v>
      </x:c>
      <x:c r="F92" s="30" t="str">
        <x:v>多模态信息融合、平台具身智能、跨域多机器人智能协同；原研究对象为超声机器人，需调整场景</x:v>
      </x:c>
      <x:c r="G92" s="30" t="str">
        <x:v>5万重点/2万一般</x:v>
      </x:c>
      <x:c r="H92" s="30" t="str">
        <x:v>副高及以上；联合固定成员</x:v>
      </x:c>
      <x:c r="I92" s="30" t="str">
        <x:v>关注下一年度开放指南</x:v>
      </x:c>
      <x:c r="J92" s="30" t="str">
        <x:v>https://asgo.nwpu.edu.cn/info/1014/1084.htm</x:v>
      </x:c>
      <x:c r="K92" s="30" t="str">
        <x:v>M190</x:v>
      </x:c>
    </x:row>
    <x:row r="93" ht="36" customHeight="1">
      <x:c r="A93" s="30" t="str">
        <x:v>历史储备</x:v>
      </x:c>
      <x:c r="B93" s="30" t="str">
        <x:v>高</x:v>
      </x:c>
      <x:c r="C93" s="30" t="str">
        <x:v>已截止·历史储备</x:v>
      </x:c>
      <x:c r="D93" s="30" t="str">
        <x:v>东南大学 — 移动通信全国重点实验室</x:v>
      </x:c>
      <x:c r="E93" s="30" t="str">
        <x:v>2026-09-25</x:v>
      </x:c>
      <x:c r="F93" s="30" t="str">
        <x:v>通信系统、智能无线与信息感知；超声机器人原课题难直接复用</x:v>
      </x:c>
      <x:c r="G93" s="30" t="str">
        <x:v>5-10万元</x:v>
      </x:c>
      <x:c r="H93" s="30" t="str">
        <x:v>经费/申报资格/限制：2027年指南；需匹配通信研究方向</x:v>
      </x:c>
      <x:c r="I93" s="30" t="str">
        <x:v>关注下一年度开放指南</x:v>
      </x:c>
      <x:c r="J93" s="30" t="str">
        <x:v>https://ncrl.seu.edu.cn/2026/0803/c15598a578768/page.htm</x:v>
      </x:c>
      <x:c r="K93" s="30" t="str">
        <x:v>M167</x:v>
      </x:c>
    </x:row>
    <x:row r="94" ht="36" customHeight="1">
      <x:c r="A94" s="30" t="str">
        <x:v>历史储备</x:v>
      </x:c>
      <x:c r="B94" s="30" t="str">
        <x:v>高</x:v>
      </x:c>
      <x:c r="C94" s="30" t="str">
        <x:v>已截止·历史储备</x:v>
      </x:c>
      <x:c r="D94" s="30" t="str">
        <x:v>哈尔滨工业大学 — 特种环境复合材料技术国家级重点实验室</x:v>
      </x:c>
      <x:c r="E94" s="30" t="str">
        <x:v>2026-09-26</x:v>
      </x:c>
      <x:c r="F94" s="30" t="str">
        <x:v>匹配研究方向：柔性应变传感器、复合材料结构监测；与原超声机器人课题直接关联较弱</x:v>
      </x:c>
      <x:c r="G94" s="30" t="str">
        <x:v>资格/经费/成果：资助60~80万元，周期2年，电子申请书并需信息公开审查材料（历史记录）</x:v>
      </x:c>
      <x:c r="H94" s="30" t="str">
        <x:v>申请资格/合作条件待核</x:v>
      </x:c>
      <x:c r="I94" s="30" t="str">
        <x:v>关注下一年度开放指南</x:v>
      </x:c>
      <x:c r="J94" s="30" t="str">
        <x:v>https://ccms.hit.edu.cn/2026/0918/c13809a401763/page.htm</x:v>
      </x:c>
      <x:c r="K94" s="30" t="str">
        <x:v>M149</x:v>
      </x:c>
    </x:row>
    <x:row r="95" ht="36" customHeight="1">
      <x:c r="A95" s="30" t="str">
        <x:v>历史储备</x:v>
      </x:c>
      <x:c r="B95" s="30" t="str">
        <x:v>中</x:v>
      </x:c>
      <x:c r="C95" s="30" t="str">
        <x:v>已截止·历史储备</x:v>
      </x:c>
      <x:c r="D95" s="30" t="str">
        <x:v>美的集团 — 重载机器人全国重点实验室（蓝橙实验室）</x:v>
      </x:c>
      <x:c r="E95" s="30" t="str">
        <x:v>2025-02-28</x:v>
      </x:c>
      <x:c r="F95" s="30" t="str">
        <x:v>机器人动力学、智能控制、多模态融合、人机协同</x:v>
      </x:c>
      <x:c r="G95" s="30" t="str">
        <x:v>未记录／待核</x:v>
      </x:c>
      <x:c r="H95" s="30" t="str">
        <x:v>申请资格/合作条件待核</x:v>
      </x:c>
      <x:c r="I95" s="30" t="str">
        <x:v>关注下一年度开放指南</x:v>
      </x:c>
      <x:c r="J95" s="30" t="str">
        <x:v>https://www.midea.com.cn/zh/about-midea/news/0326</x:v>
      </x:c>
      <x:c r="K95" s="30" t="str">
        <x:v>M120</x:v>
      </x:c>
    </x:row>
    <x:row r="96" ht="36" customHeight="1">
      <x:c r="A96" s="30" t="str">
        <x:v>历史储备</x:v>
      </x:c>
      <x:c r="B96" s="30" t="str">
        <x:v>中</x:v>
      </x:c>
      <x:c r="C96" s="30" t="str">
        <x:v>已截止·历史储备</x:v>
      </x:c>
      <x:c r="D96" s="30" t="str">
        <x:v>东南大学 — 复杂工程系统测量与控制教育部重点实验室</x:v>
      </x:c>
      <x:c r="E96" s="30" t="str">
        <x:v>2025-04-25</x:v>
      </x:c>
      <x:c r="F96" s="30" t="str">
        <x:v>复杂系统测量；系统建模；机器人智能控制</x:v>
      </x:c>
      <x:c r="G96" s="30" t="str">
        <x:v>未记录／待核</x:v>
      </x:c>
      <x:c r="H96" s="30" t="str">
        <x:v>申请资格/合作条件待核</x:v>
      </x:c>
      <x:c r="I96" s="30" t="str">
        <x:v>关注下一年度开放指南</x:v>
      </x:c>
      <x:c r="J96" s="30" t="str">
        <x:v>https://automation.seu.edu.cn/2025/0409/c24460a524408/page.htm</x:v>
      </x:c>
      <x:c r="K96" s="30" t="str">
        <x:v>M045</x:v>
      </x:c>
    </x:row>
    <x:row r="97" ht="36" customHeight="1">
      <x:c r="A97" s="30" t="str">
        <x:v>历史储备</x:v>
      </x:c>
      <x:c r="B97" s="30" t="str">
        <x:v>中</x:v>
      </x:c>
      <x:c r="C97" s="30" t="str">
        <x:v>已截止·历史储备</x:v>
      </x:c>
      <x:c r="D97" s="30" t="str">
        <x:v>安徽·安徽工业大学 — 复杂系统多学科管理与控制安徽普通高校重点实验室</x:v>
      </x:c>
      <x:c r="E97" s="30" t="str">
        <x:v>2025-04-30</x:v>
      </x:c>
      <x:c r="F97" s="30" t="str">
        <x:v>方向/边界：复杂智能体系统协同控制、共融机器人控制、系统动态与优化；流程工业等</x:v>
      </x:c>
      <x:c r="G97" s="30" t="str">
        <x:v>未记录／待核</x:v>
      </x:c>
      <x:c r="H97" s="30" t="str">
        <x:v>资助/资格/证据：与其它纵向基金申报书重复存在明确禁止条款；一般至少二类以上期刊1篇且实验室署名</x:v>
      </x:c>
      <x:c r="I97" s="30" t="str">
        <x:v>关注下一年度开放指南</x:v>
      </x:c>
      <x:c r="J97" s="30" t="str">
        <x:v>https://fzxt.ahut.edu.cn/info/1017/1276.htm</x:v>
      </x:c>
      <x:c r="K97" s="30" t="str">
        <x:v>M132</x:v>
      </x:c>
    </x:row>
    <x:row r="98" ht="36" customHeight="1">
      <x:c r="A98" s="30" t="str">
        <x:v>历史储备</x:v>
      </x:c>
      <x:c r="B98" s="30" t="str">
        <x:v>中</x:v>
      </x:c>
      <x:c r="C98" s="30" t="str">
        <x:v>已截止·历史储备</x:v>
      </x:c>
      <x:c r="D98" s="30" t="str">
        <x:v>西安交通大学第一附属医院 — 陕西省磁医学重点实验室</x:v>
      </x:c>
      <x:c r="E98" s="30" t="str">
        <x:v>2025-05-31</x:v>
      </x:c>
      <x:c r="F98" s="30" t="str">
        <x:v>磁医疗设备；磁控微型机器人；生物医学装备</x:v>
      </x:c>
      <x:c r="G98" s="30" t="str">
        <x:v>未记录／待核</x:v>
      </x:c>
      <x:c r="H98" s="30" t="str">
        <x:v>申请资格/合作条件待核</x:v>
      </x:c>
      <x:c r="I98" s="30" t="str">
        <x:v>关注下一年度开放指南</x:v>
      </x:c>
      <x:c r="J98" s="30" t="str">
        <x:v>https://psrm.xjtu.edu.cn/info/1028/2601.htm</x:v>
      </x:c>
      <x:c r="K98" s="30" t="str">
        <x:v>M092</x:v>
      </x:c>
    </x:row>
    <x:row r="99" ht="36" customHeight="1">
      <x:c r="A99" s="30" t="str">
        <x:v>历史储备</x:v>
      </x:c>
      <x:c r="B99" s="30" t="str">
        <x:v>中</x:v>
      </x:c>
      <x:c r="C99" s="30" t="str">
        <x:v>已截止·历史储备</x:v>
      </x:c>
      <x:c r="D99" s="30" t="str">
        <x:v>贵州大学 — 贵州省先进医学成像与智能计算全省重点实验室</x:v>
      </x:c>
      <x:c r="E99" s="30" t="str">
        <x:v>2025-06-26</x:v>
      </x:c>
      <x:c r="F99" s="30" t="str">
        <x:v>医学图像质量评价、AI医学成像/分割/融合；偏临床影像</x:v>
      </x:c>
      <x:c r="G99" s="30" t="str">
        <x:v>一般3万元；重点6万元</x:v>
      </x:c>
      <x:c r="H99" s="30" t="str">
        <x:v>近三年主持省部级及以上项目</x:v>
      </x:c>
      <x:c r="I99" s="30" t="str">
        <x:v>下一年度指南跟踪</x:v>
      </x:c>
      <x:c r="J99" s="30" t="str">
        <x:v>https://cs.gzu.edu.cn/_t2870/2025/0526/c16278a250729/page.htm</x:v>
      </x:c>
      <x:c r="K99" s="30" t="str">
        <x:v>D-GZU-001</x:v>
      </x:c>
    </x:row>
    <x:row r="100" ht="36" customHeight="1">
      <x:c r="A100" s="30" t="str">
        <x:v>历史储备</x:v>
      </x:c>
      <x:c r="B100" s="30" t="str">
        <x:v>中</x:v>
      </x:c>
      <x:c r="C100" s="30" t="str">
        <x:v>已截止·历史储备</x:v>
      </x:c>
      <x:c r="D100" s="30" t="str">
        <x:v>澳门大学 — 智慧城市物联网全国重点实验室（SKL-IoTSC）</x:v>
      </x:c>
      <x:c r="E100" s="30" t="str">
        <x:v>2025-08-15</x:v>
      </x:c>
      <x:c r="F100" s="30" t="str">
        <x:v>中低：智能传感、城市大数据与智能技术、智慧交通；若仅抽取机器人感知/决策基础技术可部分接近，智慧城市应用限定</x:v>
      </x:c>
      <x:c r="G100" s="30" t="str">
        <x:v>每项最高澳门币8万元（历史记录）</x:v>
      </x:c>
      <x:c r="H100" s="30" t="str">
        <x:v>官方指南接受境内外人员；需要博士学位或相当科研职务及与实验室全职成员合作，具体以批次申请PDF为准</x:v>
      </x:c>
      <x:c r="I100" s="30" t="str">
        <x:v>关注下一年度开放指南</x:v>
      </x:c>
      <x:c r="J100" s="30" t="str">
        <x:v>https://skliotsc.um.edu.mo/wp-content/uploads/2025/08/IOTSC-Guidelines-for-ORP-2026-2027.pdf</x:v>
      </x:c>
      <x:c r="K100" s="30" t="str">
        <x:v>M165</x:v>
      </x:c>
    </x:row>
    <x:row r="101" ht="36" customHeight="1">
      <x:c r="A101" s="30" t="str">
        <x:v>历史储备</x:v>
      </x:c>
      <x:c r="B101" s="30" t="str">
        <x:v>中</x:v>
      </x:c>
      <x:c r="C101" s="30" t="str">
        <x:v>已截止·历史储备</x:v>
      </x:c>
      <x:c r="D101" s="30" t="str">
        <x:v>安徽工程大学 — 高端装备先进感知与智能控制教育部重点实验室</x:v>
      </x:c>
      <x:c r="E101" s="30" t="str">
        <x:v>2025-09-03</x:v>
      </x:c>
      <x:c r="F101" s="30" t="str">
        <x:v>复杂系统建模；工业机器人；智能控制与优化</x:v>
      </x:c>
      <x:c r="G101" s="30" t="str">
        <x:v>约5万元/项（历史记录）</x:v>
      </x:c>
      <x:c r="H101" s="30" t="str">
        <x:v>申请资格/合作条件待核</x:v>
      </x:c>
      <x:c r="I101" s="30" t="str">
        <x:v>关注下一年度开放指南</x:v>
      </x:c>
      <x:c r="J101" s="30" t="str">
        <x:v>https://cee.ahpu.edu.cn/lapic/2025/0827/c7174a253666/page.htm</x:v>
      </x:c>
      <x:c r="K101" s="30" t="str">
        <x:v>M042</x:v>
      </x:c>
    </x:row>
    <x:row r="102" ht="36" customHeight="1">
      <x:c r="A102" s="30" t="str">
        <x:v>历史储备</x:v>
      </x:c>
      <x:c r="B102" s="30" t="str">
        <x:v>中</x:v>
      </x:c>
      <x:c r="C102" s="30" t="str">
        <x:v>已截止·历史储备</x:v>
      </x:c>
      <x:c r="D102" s="30" t="str">
        <x:v>中原工学院 — 河南省计算智能与智能系统重点实验室</x:v>
      </x:c>
      <x:c r="E102" s="30" t="str">
        <x:v>2025-11-07</x:v>
      </x:c>
      <x:c r="F102" s="30" t="str">
        <x:v>复杂系统感知—规划—控制、约束多目标优化、神经网络与强化/智能控制等方法。</x:v>
      </x:c>
      <x:c r="G102" s="30" t="str">
        <x:v>未记录／待核</x:v>
      </x:c>
      <x:c r="H102" s="30" t="str">
        <x:v>申请资格/合作条件待核</x:v>
      </x:c>
      <x:c r="I102" s="30" t="str">
        <x:v>关注下一年度开放指南</x:v>
      </x:c>
      <x:c r="J102" s="30" t="str">
        <x:v>https://kjc.zut.edu.cn/info/1056/6187.htm</x:v>
      </x:c>
      <x:c r="K102" s="30" t="str">
        <x:v>M118</x:v>
      </x:c>
    </x:row>
    <x:row r="103" ht="36" customHeight="1">
      <x:c r="A103" s="30" t="str">
        <x:v>历史储备</x:v>
      </x:c>
      <x:c r="B103" s="30" t="str">
        <x:v>中</x:v>
      </x:c>
      <x:c r="C103" s="30" t="str">
        <x:v>已截止·历史储备</x:v>
      </x:c>
      <x:c r="D103" s="30" t="str">
        <x:v>上海交通大学 — 机械系统与振动全国重点实验室</x:v>
      </x:c>
      <x:c r="E103" s="30" t="str">
        <x:v>2025-11-14</x:v>
      </x:c>
      <x:c r="F103" s="30" t="str">
        <x:v>柔性多体动力学；耦合建模；智能机器人；自适应控制</x:v>
      </x:c>
      <x:c r="G103" s="30" t="str">
        <x:v>未记录／待核</x:v>
      </x:c>
      <x:c r="H103" s="30" t="str">
        <x:v>申请资格/合作条件待核</x:v>
      </x:c>
      <x:c r="I103" s="30" t="str">
        <x:v>关注下一年度开放指南</x:v>
      </x:c>
      <x:c r="J103" s="30" t="str">
        <x:v>https://msv.sjtu.edu.cn/notice/156.html</x:v>
      </x:c>
      <x:c r="K103" s="30" t="str">
        <x:v>M001</x:v>
      </x:c>
    </x:row>
    <x:row r="104" ht="36" customHeight="1">
      <x:c r="A104" s="30" t="str">
        <x:v>历史储备</x:v>
      </x:c>
      <x:c r="B104" s="30" t="str">
        <x:v>中</x:v>
      </x:c>
      <x:c r="C104" s="30" t="str">
        <x:v>已截止·历史储备</x:v>
      </x:c>
      <x:c r="D104" s="30" t="str">
        <x:v>湖南师范大学 — 计算与随机数学教育部重点实验室</x:v>
      </x:c>
      <x:c r="E104" s="30" t="str">
        <x:v>2025-11-21</x:v>
      </x:c>
      <x:c r="F104" s="30" t="str">
        <x:v>机器人视觉；图像处理；智能计算方法</x:v>
      </x:c>
      <x:c r="G104" s="30" t="str">
        <x:v>未记录／待核</x:v>
      </x:c>
      <x:c r="H104" s="30" t="str">
        <x:v>申请资格/合作条件待核</x:v>
      </x:c>
      <x:c r="I104" s="30" t="str">
        <x:v>关注下一年度开放指南</x:v>
      </x:c>
      <x:c r="J104" s="30" t="str">
        <x:v>https://lcsm.hunnu.edu.cn/info/1422/5435.htm</x:v>
      </x:c>
      <x:c r="K104" s="30" t="str">
        <x:v>M052</x:v>
      </x:c>
    </x:row>
    <x:row r="105" ht="36" customHeight="1">
      <x:c r="A105" s="30" t="str">
        <x:v>历史储备</x:v>
      </x:c>
      <x:c r="B105" s="30" t="str">
        <x:v>中</x:v>
      </x:c>
      <x:c r="C105" s="30" t="str">
        <x:v>已截止·历史储备</x:v>
      </x:c>
      <x:c r="D105" s="30" t="str">
        <x:v>安徽工业大学 — 安徽省特种重载机器人重点实验室</x:v>
      </x:c>
      <x:c r="E105" s="30" t="str">
        <x:v>2025-11-30</x:v>
      </x:c>
      <x:c r="F105" s="30" t="str">
        <x:v>机器人智能控制；机器视觉；机器学习；多源信息融合</x:v>
      </x:c>
      <x:c r="G105" s="30" t="str">
        <x:v>未记录／待核</x:v>
      </x:c>
      <x:c r="H105" s="30" t="str">
        <x:v>要求本室合作人员；成果第一完成单位、专利权归属存在明显约束</x:v>
      </x:c>
      <x:c r="I105" s="30" t="str">
        <x:v>关注下一年度开放指南</x:v>
      </x:c>
      <x:c r="J105" s="30" t="str">
        <x:v>https://robotlab.ahut.edu.cn/info/1549/1412.htm</x:v>
      </x:c>
      <x:c r="K105" s="30" t="str">
        <x:v>M061</x:v>
      </x:c>
    </x:row>
    <x:row r="106" ht="36" customHeight="1">
      <x:c r="A106" s="30" t="str">
        <x:v>历史储备</x:v>
      </x:c>
      <x:c r="B106" s="30" t="str">
        <x:v>中</x:v>
      </x:c>
      <x:c r="C106" s="30" t="str">
        <x:v>已截止·历史储备</x:v>
      </x:c>
      <x:c r="D106" s="30" t="str">
        <x:v>华东交通大学 — 交通智能运维技术与装备教育部重点实验室</x:v>
      </x:c>
      <x:c r="E106" s="30" t="str">
        <x:v>2025-12-31</x:v>
      </x:c>
      <x:c r="F106" s="30" t="str">
        <x:v>机器人运动控制；智能传感；多源信息融合</x:v>
      </x:c>
      <x:c r="G106" s="30" t="str">
        <x:v>未记录／待核</x:v>
      </x:c>
      <x:c r="H106" s="30" t="str">
        <x:v>交通场景</x:v>
      </x:c>
      <x:c r="I106" s="30" t="str">
        <x:v>关注下一年度开放指南</x:v>
      </x:c>
      <x:c r="J106" s="30" t="str">
        <x:v>https://tiom.ecjtu.edu.cn/info/1047/2192.htm</x:v>
      </x:c>
      <x:c r="K106" s="30" t="str">
        <x:v>M048</x:v>
      </x:c>
    </x:row>
    <x:row r="107" ht="36" customHeight="1">
      <x:c r="A107" s="30" t="str">
        <x:v>历史储备</x:v>
      </x:c>
      <x:c r="B107" s="30" t="str">
        <x:v>中</x:v>
      </x:c>
      <x:c r="C107" s="30" t="str">
        <x:v>已截止·历史储备</x:v>
      </x:c>
      <x:c r="D107" s="30" t="str">
        <x:v>香港理工大学 — 超精密加工技术全国重点实验室</x:v>
      </x:c>
      <x:c r="E107" s="30" t="str">
        <x:v>2026-01-19</x:v>
      </x:c>
      <x:c r="F107" s="30" t="str">
        <x:v>精密测量、智能装备、超精密加工；面向外部人员</x:v>
      </x:c>
      <x:c r="G107" s="30" t="str">
        <x:v>未记录／待核</x:v>
      </x:c>
      <x:c r="H107" s="30" t="str">
        <x:v>申请资格/合作条件待核</x:v>
      </x:c>
      <x:c r="I107" s="30" t="str">
        <x:v>关注下一年度开放指南</x:v>
      </x:c>
      <x:c r="J107" s="30" t="str">
        <x:v>https://www.polyu.edu.hk/sklumt/open-research-project/call-for-application/?sc_lang=tc</x:v>
      </x:c>
      <x:c r="K107" s="30" t="str">
        <x:v>M122</x:v>
      </x:c>
    </x:row>
    <x:row r="108" ht="36" customHeight="1">
      <x:c r="A108" s="30" t="str">
        <x:v>历史储备</x:v>
      </x:c>
      <x:c r="B108" s="30" t="str">
        <x:v>中</x:v>
      </x:c>
      <x:c r="C108" s="30" t="str">
        <x:v>已截止·历史储备</x:v>
      </x:c>
      <x:c r="D108" s="30" t="str">
        <x:v>中国科学院深海科学与工程研究所 — 深海科学与智能技术全国重点实验室</x:v>
      </x:c>
      <x:c r="E108" s="30" t="str">
        <x:v>2026-01-20</x:v>
      </x:c>
      <x:c r="F108" s="30" t="str">
        <x:v>无人装备智能控制、多源感知、融合技术；深海应用场景</x:v>
      </x:c>
      <x:c r="G108" s="30" t="str">
        <x:v>未记录／待核</x:v>
      </x:c>
      <x:c r="H108" s="30" t="str">
        <x:v>申请资格/合作条件待核</x:v>
      </x:c>
      <x:c r="I108" s="30" t="str">
        <x:v>关注下一年度开放指南</x:v>
      </x:c>
      <x:c r="J108" s="30" t="str">
        <x:v>https://idsse.cas.cn/xwdt/tzgg/202512/t20251223_8031930.html</x:v>
      </x:c>
      <x:c r="K108" s="30" t="str">
        <x:v>M121</x:v>
      </x:c>
    </x:row>
    <x:row r="109" ht="36" customHeight="1">
      <x:c r="A109" s="30" t="str">
        <x:v>历史储备</x:v>
      </x:c>
      <x:c r="B109" s="30" t="str">
        <x:v>中</x:v>
      </x:c>
      <x:c r="C109" s="30" t="str">
        <x:v>已截止·历史储备</x:v>
      </x:c>
      <x:c r="D109" s="30" t="str">
        <x:v>浙江大学台州研究院 — 全省医疗智能决策重点实验室</x:v>
      </x:c>
      <x:c r="E109" s="30" t="str">
        <x:v>2026-02-28</x:v>
      </x:c>
      <x:c r="F109" s="30" t="str">
        <x:v>多模态医疗信息融合；医疗智能决策；医学人工智能</x:v>
      </x:c>
      <x:c r="G109" s="30" t="str">
        <x:v>未记录／待核</x:v>
      </x:c>
      <x:c r="H109" s="30" t="str">
        <x:v>申请资格/合作条件待核</x:v>
      </x:c>
      <x:c r="I109" s="30" t="str">
        <x:v>关注下一年度开放指南</x:v>
      </x:c>
      <x:c r="J109" s="30" t="str">
        <x:v>https://rizt.zju.edu.cn/2026/0122/c44789a3130666/page.htm</x:v>
      </x:c>
      <x:c r="K109" s="30" t="str">
        <x:v>M082</x:v>
      </x:c>
    </x:row>
    <x:row r="110" ht="36" customHeight="1">
      <x:c r="A110" s="30" t="str">
        <x:v>历史储备</x:v>
      </x:c>
      <x:c r="B110" s="30" t="str">
        <x:v>中</x:v>
      </x:c>
      <x:c r="C110" s="30" t="str">
        <x:v>已截止·历史储备</x:v>
      </x:c>
      <x:c r="D110" s="30" t="str">
        <x:v>厦门工学院 — 柔性制造装备集成福建省高校重点实验室</x:v>
      </x:c>
      <x:c r="E110" s="30" t="str">
        <x:v>2026-03-10</x:v>
      </x:c>
      <x:c r="F110" s="30" t="str">
        <x:v>机器人与产线装备集成；数字化建模和仿真；智能控制与优化；机器视觉与图像处理</x:v>
      </x:c>
      <x:c r="G110" s="30" t="str">
        <x:v>4万元且经费外拨</x:v>
      </x:c>
      <x:c r="H110" s="30" t="str">
        <x:v>中级以上职称或博士；需固定研究人员任第二负责人</x:v>
      </x:c>
      <x:c r="I110" s="30" t="str">
        <x:v>关注下一年度开放指南</x:v>
      </x:c>
      <x:c r="J110" s="30" t="str">
        <x:v>https://www.xit.edu.cn/kxyj/2026/0206/c1174a83598/page.htm</x:v>
      </x:c>
      <x:c r="K110" s="30" t="str">
        <x:v>M102</x:v>
      </x:c>
    </x:row>
    <x:row r="111" ht="36" customHeight="1">
      <x:c r="A111" s="30" t="str">
        <x:v>历史储备</x:v>
      </x:c>
      <x:c r="B111" s="30" t="str">
        <x:v>中</x:v>
      </x:c>
      <x:c r="C111" s="30" t="str">
        <x:v>已截止·历史储备</x:v>
      </x:c>
      <x:c r="D111" s="30" t="str">
        <x:v>中国科学院深圳先进技术研究院 — 医学成像科学与技术系统全国重点实验室</x:v>
      </x:c>
      <x:c r="E111" s="30" t="str">
        <x:v>2026-03-15</x:v>
      </x:c>
      <x:c r="F111" s="30" t="str">
        <x:v>超声成像；医学多模态功能成像；智能医疗装备</x:v>
      </x:c>
      <x:c r="G111" s="30" t="str">
        <x:v>10万元</x:v>
      </x:c>
      <x:c r="H111" s="30" t="str">
        <x:v>博士或副高；与固定成员合作</x:v>
      </x:c>
      <x:c r="I111" s="30" t="str">
        <x:v>关注下一年度开放指南</x:v>
      </x:c>
      <x:c r="J111" s="30" t="str">
        <x:v>https://medimaging.siat.ac.cn/cxqjzx/2026-02/13/article_2026021316251621975.html</x:v>
      </x:c>
      <x:c r="K111" s="30" t="str">
        <x:v>M020</x:v>
      </x:c>
    </x:row>
    <x:row r="112" ht="36" customHeight="1">
      <x:c r="A112" s="30" t="str">
        <x:v>历史储备</x:v>
      </x:c>
      <x:c r="B112" s="30" t="str">
        <x:v>中</x:v>
      </x:c>
      <x:c r="C112" s="30" t="str">
        <x:v>已截止·历史储备</x:v>
      </x:c>
      <x:c r="D112" s="30" t="str">
        <x:v>澳门大学 — 创新创业中心“大健康+”加速器（2026）</x:v>
      </x:c>
      <x:c r="E112" s="30" t="str">
        <x:v>2026-03-26</x:v>
      </x:c>
      <x:c r="F112" s="30" t="str">
        <x:v>匹配研究方向：大健康科研成果转化体系、商业化服务和中药产业；不属于机器人理论研究开放基金</x:v>
      </x:c>
      <x:c r="G112" s="30" t="str">
        <x:v>单项不超过20万澳门元（历史记录）</x:v>
      </x:c>
      <x:c r="H112" s="30" t="str">
        <x:v>申请资格/合作条件待核</x:v>
      </x:c>
      <x:c r="I112" s="30" t="str">
        <x:v>关注下一年度开放指南</x:v>
      </x:c>
      <x:c r="J112" s="30" t="str">
        <x:v>https://e-bulletin.um.edu.mo/notice/500662/</x:v>
      </x:c>
      <x:c r="K112" s="30" t="str">
        <x:v>M150</x:v>
      </x:c>
    </x:row>
    <x:row r="113" ht="36" customHeight="1">
      <x:c r="A113" s="30" t="str">
        <x:v>历史储备</x:v>
      </x:c>
      <x:c r="B113" s="30" t="str">
        <x:v>中</x:v>
      </x:c>
      <x:c r="C113" s="30" t="str">
        <x:v>已截止·历史储备</x:v>
      </x:c>
      <x:c r="D113" s="30" t="str">
        <x:v>中科院苏州纳米技术与纳米仿生研究所 — 江苏省类器官创制与精准医疗重点实验室</x:v>
      </x:c>
      <x:c r="E113" s="30" t="str">
        <x:v>2026-03-31</x:v>
      </x:c>
      <x:c r="F113" s="30" t="str">
        <x:v>生物材料、类器官和精准诊疗；与机器人软组织交互只有远端相关</x:v>
      </x:c>
      <x:c r="G113" s="30" t="str">
        <x:v>3-10万元</x:v>
      </x:c>
      <x:c r="H113" s="30" t="str">
        <x:v>经费/申报资格/限制：约3-10万元，必须紧扣类器官/精准医疗主题</x:v>
      </x:c>
      <x:c r="I113" s="30" t="str">
        <x:v>关注下一年度开放指南</x:v>
      </x:c>
      <x:c r="J113" s="30" t="str">
        <x:v>https://sinano.cas.cn/news/xmtz/202601/t20260129_8120336.html</x:v>
      </x:c>
      <x:c r="K113" s="30" t="str">
        <x:v>M174</x:v>
      </x:c>
    </x:row>
    <x:row r="114" ht="36" customHeight="1">
      <x:c r="A114" s="30" t="str">
        <x:v>历史储备</x:v>
      </x:c>
      <x:c r="B114" s="30" t="str">
        <x:v>中</x:v>
      </x:c>
      <x:c r="C114" s="30" t="str">
        <x:v>已截止·历史储备</x:v>
      </x:c>
      <x:c r="D114" s="30" t="str">
        <x:v>新疆生产建设兵团相关单位 — 建筑钢结构智能制造技术兵团重点实验室</x:v>
      </x:c>
      <x:c r="E114" s="30" t="str">
        <x:v>2026-04-10</x:v>
      </x:c>
      <x:c r="F114" s="30" t="str">
        <x:v>钢结构柔性机器人；自适应装配；多传感融合；动态建模与路径规划</x:v>
      </x:c>
      <x:c r="G114" s="30" t="str">
        <x:v>未记录／待核</x:v>
      </x:c>
      <x:c r="H114" s="30" t="str">
        <x:v>钢结构制造应用场景，非超声机器人</x:v>
      </x:c>
      <x:c r="I114" s="30" t="str">
        <x:v>关注下一年度开放指南</x:v>
      </x:c>
      <x:c r="J114" s="30" t="str">
        <x:v>https://kjj.xjbt.gov.cn/c/2026-04-01/8477891.shtml</x:v>
      </x:c>
      <x:c r="K114" s="30" t="str">
        <x:v>M072</x:v>
      </x:c>
    </x:row>
    <x:row r="115" ht="36" customHeight="1">
      <x:c r="A115" s="30" t="str">
        <x:v>历史储备</x:v>
      </x:c>
      <x:c r="B115" s="30" t="str">
        <x:v>中</x:v>
      </x:c>
      <x:c r="C115" s="30" t="str">
        <x:v>已截止·历史储备</x:v>
      </x:c>
      <x:c r="D115" s="30" t="str">
        <x:v>湖北大学 — 智能感知系统与安全教育部重点实验室</x:v>
      </x:c>
      <x:c r="E115" s="30" t="str">
        <x:v>2026-04-15</x:v>
      </x:c>
      <x:c r="F115" s="30" t="str">
        <x:v>多模态感知融合；智能感知与决策</x:v>
      </x:c>
      <x:c r="G115" s="30" t="str">
        <x:v>未记录／待核</x:v>
      </x:c>
      <x:c r="H115" s="30" t="str">
        <x:v>外单位在岗在编；本室固定成员合作</x:v>
      </x:c>
      <x:c r="I115" s="30" t="str">
        <x:v>关注下一年度开放指南</x:v>
      </x:c>
      <x:c r="J115" s="30" t="str">
        <x:v>https://isss.hubu.edu.cn/info/1080/1276.htm</x:v>
      </x:c>
      <x:c r="K115" s="30" t="str">
        <x:v>M051</x:v>
      </x:c>
    </x:row>
    <x:row r="116" ht="36" customHeight="1">
      <x:c r="A116" s="30" t="str">
        <x:v>历史储备</x:v>
      </x:c>
      <x:c r="B116" s="30" t="str">
        <x:v>中</x:v>
      </x:c>
      <x:c r="C116" s="30" t="str">
        <x:v>已截止·历史储备</x:v>
      </x:c>
      <x:c r="D116" s="30" t="str">
        <x:v>宁波数字孪生（东方理工）研究院 — 宁波市空间智能与数字衍生重点实验室</x:v>
      </x:c>
      <x:c r="E116" s="30" t="str">
        <x:v>2026-04-20</x:v>
      </x:c>
      <x:c r="F116" s="30" t="str">
        <x:v>三维空间建模；数字孪生；智能感知</x:v>
      </x:c>
      <x:c r="G116" s="30" t="str">
        <x:v>未记录／待核</x:v>
      </x:c>
      <x:c r="H116" s="30" t="str">
        <x:v>申请资格/合作条件待核</x:v>
      </x:c>
      <x:c r="I116" s="30" t="str">
        <x:v>关注下一年度开放指南</x:v>
      </x:c>
      <x:c r="J116" s="30" t="str">
        <x:v>https://idt.eitech.edu.cn/2411.html</x:v>
      </x:c>
      <x:c r="K116" s="30" t="str">
        <x:v>M081</x:v>
      </x:c>
    </x:row>
    <x:row r="117" ht="36" customHeight="1">
      <x:c r="A117" s="30" t="str">
        <x:v>历史储备</x:v>
      </x:c>
      <x:c r="B117" s="30" t="str">
        <x:v>中</x:v>
      </x:c>
      <x:c r="C117" s="30" t="str">
        <x:v>已截止·历史储备</x:v>
      </x:c>
      <x:c r="D117" s="30" t="str">
        <x:v>重庆大学 — 生物感知与多模态智能信息处理重庆市重点实验室</x:v>
      </x:c>
      <x:c r="E117" s="30" t="str">
        <x:v>2026-04-20</x:v>
      </x:c>
      <x:c r="F117" s="30" t="str">
        <x:v>世界模型；具身智能；开放环境视觉感知；鲁棒学习</x:v>
      </x:c>
      <x:c r="G117" s="30" t="str">
        <x:v>未记录／待核</x:v>
      </x:c>
      <x:c r="H117" s="30" t="str">
        <x:v>申请资格/合作条件待核</x:v>
      </x:c>
      <x:c r="I117" s="30" t="str">
        <x:v>关注下一年度开放指南</x:v>
      </x:c>
      <x:c r="J117" s="30" t="str">
        <x:v>https://www.ccee.cqu.edu.cn/info/1397/7727.htm</x:v>
      </x:c>
      <x:c r="K117" s="30" t="str">
        <x:v>M090</x:v>
      </x:c>
    </x:row>
    <x:row r="118" ht="36" customHeight="1">
      <x:c r="A118" s="30" t="str">
        <x:v>历史储备</x:v>
      </x:c>
      <x:c r="B118" s="30" t="str">
        <x:v>中</x:v>
      </x:c>
      <x:c r="C118" s="30" t="str">
        <x:v>已截止·历史储备</x:v>
      </x:c>
      <x:c r="D118" s="30" t="str">
        <x:v>齐鲁工业大学 — 山东省无人系统智能技术与装备重点实验室</x:v>
      </x:c>
      <x:c r="E118" s="30" t="str">
        <x:v>2026-04-22</x:v>
      </x:c>
      <x:c r="F118" s="30" t="str">
        <x:v>多模态感知、自主导航、鲁棒控制；无人机/无人系统场景</x:v>
      </x:c>
      <x:c r="G118" s="30" t="str">
        <x:v>一般≤2万元/重点≤4万元（历史记录）</x:v>
      </x:c>
      <x:c r="H118" s="30" t="str">
        <x:v>申请资格/合作条件待核</x:v>
      </x:c>
      <x:c r="I118" s="30" t="str">
        <x:v>关注下一年度开放指南</x:v>
      </x:c>
      <x:c r="J118" s="30" t="str">
        <x:v>https://slx.qlu.edu.cn/_t1249/2026/0409/c3946a275414/page.htm</x:v>
      </x:c>
      <x:c r="K118" s="30" t="str">
        <x:v>M067</x:v>
      </x:c>
    </x:row>
    <x:row r="119" ht="36" customHeight="1">
      <x:c r="A119" s="30" t="str">
        <x:v>历史储备</x:v>
      </x:c>
      <x:c r="B119" s="30" t="str">
        <x:v>中</x:v>
      </x:c>
      <x:c r="C119" s="30" t="str">
        <x:v>已截止·历史储备</x:v>
      </x:c>
      <x:c r="D119" s="30" t="str">
        <x:v>南京大学 — 计算机软件新技术全国重点实验室</x:v>
      </x:c>
      <x:c r="E119" s="30" t="str">
        <x:v>2026-04-30</x:v>
      </x:c>
      <x:c r="F119" s="30" t="str">
        <x:v>机器学习；智能体；多模态智能软件；具身相关基础方法</x:v>
      </x:c>
      <x:c r="G119" s="30" t="str">
        <x:v>未记录／待核</x:v>
      </x:c>
      <x:c r="H119" s="30" t="str">
        <x:v>有2026年指南；具体申报资格需复核</x:v>
      </x:c>
      <x:c r="I119" s="30" t="str">
        <x:v>关注下一年度开放指南</x:v>
      </x:c>
      <x:c r="J119" s="30" t="str">
        <x:v>https://keysoftlab.nju.edu.cn/1573/list.htm</x:v>
      </x:c>
      <x:c r="K119" s="30" t="str">
        <x:v>M021</x:v>
      </x:c>
    </x:row>
    <x:row r="120" ht="36" customHeight="1">
      <x:c r="A120" s="30" t="str">
        <x:v>历史储备</x:v>
      </x:c>
      <x:c r="B120" s="30" t="str">
        <x:v>中</x:v>
      </x:c>
      <x:c r="C120" s="30" t="str">
        <x:v>已截止·历史储备</x:v>
      </x:c>
      <x:c r="D120" s="30" t="str">
        <x:v>吉林大学 — 符号计算与知识工程教育部重点实验室</x:v>
      </x:c>
      <x:c r="E120" s="30" t="str">
        <x:v>2026-04-30</x:v>
      </x:c>
      <x:c r="F120" s="30" t="str">
        <x:v>多模态学习；强化学习；智能决策</x:v>
      </x:c>
      <x:c r="G120" s="30" t="str">
        <x:v>未记录／待核</x:v>
      </x:c>
      <x:c r="H120" s="30" t="str">
        <x:v>申请资格/合作条件待核</x:v>
      </x:c>
      <x:c r="I120" s="30" t="str">
        <x:v>关注下一年度开放指南</x:v>
      </x:c>
      <x:c r="J120" s="30" t="str">
        <x:v>https://scke.jlu.edu.cn/info/1071/1755.htm</x:v>
      </x:c>
      <x:c r="K120" s="30" t="str">
        <x:v>M040</x:v>
      </x:c>
    </x:row>
    <x:row r="121" ht="36" customHeight="1">
      <x:c r="A121" s="30" t="str">
        <x:v>历史储备</x:v>
      </x:c>
      <x:c r="B121" s="30" t="str">
        <x:v>中</x:v>
      </x:c>
      <x:c r="C121" s="30" t="str">
        <x:v>已截止·历史储备</x:v>
      </x:c>
      <x:c r="D121" s="30" t="str">
        <x:v>四川文理学院 — 警用智能机器人达州市重点实验室</x:v>
      </x:c>
      <x:c r="E121" s="30" t="str">
        <x:v>2026-04-30</x:v>
      </x:c>
      <x:c r="F121" s="30" t="str">
        <x:v>运动规划；多模态感知；机器人自适应控制</x:v>
      </x:c>
      <x:c r="G121" s="30" t="str">
        <x:v>未记录／待核</x:v>
      </x:c>
      <x:c r="H121" s="30" t="str">
        <x:v>警用场景限制</x:v>
      </x:c>
      <x:c r="I121" s="30" t="str">
        <x:v>关注下一年度开放指南</x:v>
      </x:c>
      <x:c r="J121" s="30" t="str">
        <x:v>https://jqr.sasu.edu.cn/info/1009/1061.htm</x:v>
      </x:c>
      <x:c r="K121" s="30" t="str">
        <x:v>M060</x:v>
      </x:c>
    </x:row>
    <x:row r="122" ht="36" customHeight="1">
      <x:c r="A122" s="30" t="str">
        <x:v>历史储备</x:v>
      </x:c>
      <x:c r="B122" s="30" t="str">
        <x:v>中</x:v>
      </x:c>
      <x:c r="C122" s="30" t="str">
        <x:v>已截止·历史储备</x:v>
      </x:c>
      <x:c r="D122" s="30" t="str">
        <x:v>南京警察学院 — 警犬技术公安部重点实验室</x:v>
      </x:c>
      <x:c r="E122" s="30" t="str">
        <x:v>2026-04-30</x:v>
      </x:c>
      <x:c r="F122" s="30" t="str">
        <x:v>机器人感知和智能警务仅远距离方法交叉，警犬研究限定</x:v>
      </x:c>
      <x:c r="G122" s="30" t="str">
        <x:v>未记录／待核</x:v>
      </x:c>
      <x:c r="H122" s="30" t="str">
        <x:v>经费/申报资格/限制：联合实验室固定研究人员，论文或专利成果要求；匹配低</x:v>
      </x:c>
      <x:c r="I122" s="30" t="str">
        <x:v>关注下一年度开放指南</x:v>
      </x:c>
      <x:c r="J122" s="30" t="str">
        <x:v>https://www.njpu.edu.cn/2026/0420/c1693a102949/page.htm</x:v>
      </x:c>
      <x:c r="K122" s="30" t="str">
        <x:v>M183</x:v>
      </x:c>
    </x:row>
    <x:row r="123" ht="36" customHeight="1">
      <x:c r="A123" s="30" t="str">
        <x:v>历史储备</x:v>
      </x:c>
      <x:c r="B123" s="30" t="str">
        <x:v>中</x:v>
      </x:c>
      <x:c r="C123" s="30" t="str">
        <x:v>已截止·历史储备</x:v>
      </x:c>
      <x:c r="D123" s="30" t="str">
        <x:v>河南工业大学 — 河南省超硬磨料磨削装备重点实验室</x:v>
      </x:c>
      <x:c r="E123" s="30" t="str">
        <x:v>2026-05-14</x:v>
      </x:c>
      <x:c r="F123" s="30" t="str">
        <x:v>具身机器人磨削；多模态过程感知；机器人作业控制</x:v>
      </x:c>
      <x:c r="G123" s="30" t="str">
        <x:v>未记录／待核</x:v>
      </x:c>
      <x:c r="H123" s="30" t="str">
        <x:v>加工场景约束，方法迁移</x:v>
      </x:c>
      <x:c r="I123" s="30" t="str">
        <x:v>关注下一年度开放指南</x:v>
      </x:c>
      <x:c r="J123" s="30" t="str">
        <x:v>https://kjc.haut.edu.cn/info/1240/13366.htm</x:v>
      </x:c>
      <x:c r="K123" s="30" t="str">
        <x:v>M080</x:v>
      </x:c>
    </x:row>
    <x:row r="124" ht="36" customHeight="1">
      <x:c r="A124" s="30" t="str">
        <x:v>历史储备</x:v>
      </x:c>
      <x:c r="B124" s="30" t="str">
        <x:v>中</x:v>
      </x:c>
      <x:c r="C124" s="30" t="str">
        <x:v>已截止·历史储备</x:v>
      </x:c>
      <x:c r="D124" s="30" t="str">
        <x:v>泸州职业技术学院 — 智能控制与电子器件应用技术泸州市重点实验室</x:v>
      </x:c>
      <x:c r="E124" s="30" t="str">
        <x:v>2026-05-15</x:v>
      </x:c>
      <x:c r="F124" s="30" t="str">
        <x:v>智能控制与电子信息；通知提与泸州企业合作</x:v>
      </x:c>
      <x:c r="G124" s="30" t="str">
        <x:v>未记录／待核</x:v>
      </x:c>
      <x:c r="H124" s="30" t="str">
        <x:v>申请资格/合作条件待核</x:v>
      </x:c>
      <x:c r="I124" s="30" t="str">
        <x:v>关注下一年度开放指南</x:v>
      </x:c>
      <x:c r="J124" s="30" t="str">
        <x:v>https://eed.lzy.edu.cn/info/1052/2555.htm</x:v>
      </x:c>
      <x:c r="K124" s="30" t="str">
        <x:v>M126</x:v>
      </x:c>
    </x:row>
    <x:row r="125" ht="36" customHeight="1">
      <x:c r="A125" s="30" t="str">
        <x:v>历史储备</x:v>
      </x:c>
      <x:c r="B125" s="30" t="str">
        <x:v>中</x:v>
      </x:c>
      <x:c r="C125" s="30" t="str">
        <x:v>已截止·历史储备</x:v>
      </x:c>
      <x:c r="D125" s="30" t="str">
        <x:v>国家高性能医疗器械创新中心 — 开放基金·超声成像新技术创新基金（第一批）</x:v>
      </x:c>
      <x:c r="E125" s="30" t="str">
        <x:v>2026-05-17</x:v>
      </x:c>
      <x:c r="F125" s="30" t="str">
        <x:v>超声成像新技术；人工智能辅助超声质量评价；临床医学影像</x:v>
      </x:c>
      <x:c r="G125" s="30" t="str">
        <x:v>未记录／待核</x:v>
      </x:c>
      <x:c r="H125" s="30" t="str">
        <x:v>重点面向各省市级医院及相关单位；偏临床研究</x:v>
      </x:c>
      <x:c r="I125" s="30" t="str">
        <x:v>关注下一年度开放指南</x:v>
      </x:c>
      <x:c r="J125" s="30" t="str">
        <x:v>https://www.nmed.org.cn/Content/xwzx/gg/2026-04/147314_1.html</x:v>
      </x:c>
      <x:c r="K125" s="30" t="str">
        <x:v>M096</x:v>
      </x:c>
    </x:row>
    <x:row r="126" ht="36" customHeight="1">
      <x:c r="A126" s="30" t="str">
        <x:v>历史储备</x:v>
      </x:c>
      <x:c r="B126" s="30" t="str">
        <x:v>中</x:v>
      </x:c>
      <x:c r="C126" s="30" t="str">
        <x:v>已截止·历史储备</x:v>
      </x:c>
      <x:c r="D126" s="30" t="str">
        <x:v>中国科学院精密测量科学与技术创新研究院 — 磁共振波谱与成像全国重点实验室</x:v>
      </x:c>
      <x:c r="E126" s="30" t="str">
        <x:v>2026-05-25</x:v>
      </x:c>
      <x:c r="F126" s="30" t="str">
        <x:v>医学成像方法、仪器与信号处理（MRI，非超声）</x:v>
      </x:c>
      <x:c r="G126" s="30" t="str">
        <x:v>未记录／待核</x:v>
      </x:c>
      <x:c r="H126" s="30" t="str">
        <x:v>面向国内外科技工作者；具体资格详见指南附件</x:v>
      </x:c>
      <x:c r="I126" s="30" t="str">
        <x:v>下一年度指南跟踪</x:v>
      </x:c>
      <x:c r="J126" s="30" t="str">
        <x:v>https://sklmrsi.apm.ac.cn/kfjl/kfkt/202604/t20260424_835102.html</x:v>
      </x:c>
      <x:c r="K126" s="30" t="str">
        <x:v>D-CAS-001</x:v>
      </x:c>
    </x:row>
    <x:row r="127" ht="36" customHeight="1">
      <x:c r="A127" s="30" t="str">
        <x:v>历史储备</x:v>
      </x:c>
      <x:c r="B127" s="30" t="str">
        <x:v>中</x:v>
      </x:c>
      <x:c r="C127" s="30" t="str">
        <x:v>已截止·历史储备</x:v>
      </x:c>
      <x:c r="D127" s="30" t="str">
        <x:v>常州大学 — 智能制造龙城实验室/工业母机工程研究院</x:v>
      </x:c>
      <x:c r="E127" s="30" t="str">
        <x:v>2026-05-27</x:v>
      </x:c>
      <x:c r="F127" s="30" t="str">
        <x:v>刚柔耦合装备、机器人控制、制造装备智能规划</x:v>
      </x:c>
      <x:c r="G127" s="30" t="str">
        <x:v>未记录／待核</x:v>
      </x:c>
      <x:c r="H127" s="30" t="str">
        <x:v>经费/申报资格/限制：申请要求以常州大学为第一申报单位；不宜算校外独立PI机会</x:v>
      </x:c>
      <x:c r="I127" s="30" t="str">
        <x:v>关注下一年度开放指南</x:v>
      </x:c>
      <x:c r="J127" s="30" t="str">
        <x:v>https://iimt.cczu.edu.cn/2026/0519/c22023a415871/page.htm</x:v>
      </x:c>
      <x:c r="K127" s="30" t="str">
        <x:v>M175</x:v>
      </x:c>
    </x:row>
    <x:row r="128" ht="36" customHeight="1">
      <x:c r="A128" s="30" t="str">
        <x:v>历史储备</x:v>
      </x:c>
      <x:c r="B128" s="30" t="str">
        <x:v>中</x:v>
      </x:c>
      <x:c r="C128" s="30" t="str">
        <x:v>已截止·历史储备</x:v>
      </x:c>
      <x:c r="D128" s="30" t="str">
        <x:v>中国石油大学（北京）克拉玛依校区 — 新疆油气智能勘探与开发重点实验室</x:v>
      </x:c>
      <x:c r="E128" s="30" t="str">
        <x:v>2026-06-05</x:v>
      </x:c>
      <x:c r="F128" s="30" t="str">
        <x:v>智能感知；三维建模；自主决策</x:v>
      </x:c>
      <x:c r="G128" s="30" t="str">
        <x:v>未记录／待核</x:v>
      </x:c>
      <x:c r="H128" s="30" t="str">
        <x:v>为指南建议征集，非正式项目申报</x:v>
      </x:c>
      <x:c r="I128" s="30" t="str">
        <x:v>关注下一年度开放指南</x:v>
      </x:c>
      <x:c r="J128" s="30" t="str">
        <x:v>https://www.cupk.edu.cn/olgas/c/2026-05-30/534544.shtml</x:v>
      </x:c>
      <x:c r="K128" s="30" t="str">
        <x:v>M071</x:v>
      </x:c>
    </x:row>
    <x:row r="129" ht="36" customHeight="1">
      <x:c r="A129" s="30" t="str">
        <x:v>历史储备</x:v>
      </x:c>
      <x:c r="B129" s="30" t="str">
        <x:v>中</x:v>
      </x:c>
      <x:c r="C129" s="30" t="str">
        <x:v>已截止·历史储备</x:v>
      </x:c>
      <x:c r="D129" s="30" t="str">
        <x:v>内蒙古·内蒙古工业大学 — 大规模储能技术教育部工程研究中心</x:v>
      </x:c>
      <x:c r="E129" s="30" t="str">
        <x:v>2026-06-10</x:v>
      </x:c>
      <x:c r="F129" s="30" t="str">
        <x:v>方向/边界：储能控制、智能检测；研究对象与机器人超声不匹配</x:v>
      </x:c>
      <x:c r="G129" s="30" t="str">
        <x:v>10万元</x:v>
      </x:c>
      <x:c r="H129" s="30" t="str">
        <x:v>资助/资格/证据：重要：本批开放子课题通知明确“面向全校”；校内限定，不应算外部可申请开放基金</x:v>
      </x:c>
      <x:c r="I129" s="30" t="str">
        <x:v>关注下一年度开放指南</x:v>
      </x:c>
      <x:c r="J129" s="30" t="str">
        <x:v>https://lest.imut.edu.cn/info/1115/6280.htm</x:v>
      </x:c>
      <x:c r="K129" s="30" t="str">
        <x:v>M136</x:v>
      </x:c>
    </x:row>
    <x:row r="130" ht="36" customHeight="1">
      <x:c r="A130" s="30" t="str">
        <x:v>历史储备</x:v>
      </x:c>
      <x:c r="B130" s="30" t="str">
        <x:v>中</x:v>
      </x:c>
      <x:c r="C130" s="30" t="str">
        <x:v>已截止·历史储备</x:v>
      </x:c>
      <x:c r="D130" s="30" t="str">
        <x:v>北京工业大学 — 智能感知与自主控制教育部工程研究中心</x:v>
      </x:c>
      <x:c r="E130" s="30" t="str">
        <x:v>2026-06-12</x:v>
      </x:c>
      <x:c r="F130" s="30" t="str">
        <x:v>具身主动感知；多模态融合；智能决策</x:v>
      </x:c>
      <x:c r="G130" s="30" t="str">
        <x:v>未记录／待核</x:v>
      </x:c>
      <x:c r="H130" s="30" t="str">
        <x:v>仅本校在职博士可申报，不符合面向外部人员要求</x:v>
      </x:c>
      <x:c r="I130" s="30" t="str">
        <x:v>关注下一年度开放指南</x:v>
      </x:c>
      <x:c r="J130" s="30" t="str">
        <x:v>https://sist.bjut.edu.cn/info/1222/5293.htm</x:v>
      </x:c>
      <x:c r="K130" s="30" t="str">
        <x:v>M038</x:v>
      </x:c>
    </x:row>
    <x:row r="131" ht="36" customHeight="1">
      <x:c r="A131" s="30" t="str">
        <x:v>历史储备</x:v>
      </x:c>
      <x:c r="B131" s="30" t="str">
        <x:v>中</x:v>
      </x:c>
      <x:c r="C131" s="30" t="str">
        <x:v>已截止·历史储备</x:v>
      </x:c>
      <x:c r="D131" s="30" t="str">
        <x:v>中南民族大学 — 医学信息分析及肿瘤诊疗湖北省重点实验室</x:v>
      </x:c>
      <x:c r="E131" s="30" t="str">
        <x:v>2026-06-15</x:v>
      </x:c>
      <x:c r="F131" s="30" t="str">
        <x:v>医学影像处理；形变建模；多模态图像配准</x:v>
      </x:c>
      <x:c r="G131" s="30" t="str">
        <x:v>不超过1万元/1年（历史记录）</x:v>
      </x:c>
      <x:c r="H131" s="30" t="str">
        <x:v>申请资格/合作条件待核</x:v>
      </x:c>
      <x:c r="I131" s="30" t="str">
        <x:v>关注下一年度开放指南</x:v>
      </x:c>
      <x:c r="J131" s="30" t="str">
        <x:v>https://www.scuec.edu.cn/yxxxsys/info/1011/1071.htm</x:v>
      </x:c>
      <x:c r="K131" s="30" t="str">
        <x:v>M083</x:v>
      </x:c>
    </x:row>
    <x:row r="132" ht="36" customHeight="1">
      <x:c r="A132" s="30" t="str">
        <x:v>历史储备</x:v>
      </x:c>
      <x:c r="B132" s="30" t="str">
        <x:v>中</x:v>
      </x:c>
      <x:c r="C132" s="30" t="str">
        <x:v>已截止·历史储备</x:v>
      </x:c>
      <x:c r="D132" s="30" t="str">
        <x:v>长安大学 — 道路施工技术与装备教育部重点实验室</x:v>
      </x:c>
      <x:c r="E132" s="30" t="str">
        <x:v>2026-06-15</x:v>
      </x:c>
      <x:c r="F132" s="30" t="str">
        <x:v>智能施工机器人、规划与控制；道路施工场景</x:v>
      </x:c>
      <x:c r="G132" s="30" t="str">
        <x:v>未记录／待核</x:v>
      </x:c>
      <x:c r="H132" s="30" t="str">
        <x:v>申请资格/合作条件待核</x:v>
      </x:c>
      <x:c r="I132" s="30" t="str">
        <x:v>关注下一年度开放指南</x:v>
      </x:c>
      <x:c r="J132" s="30" t="str">
        <x:v>https://webplus.chd.edu.cn/_s204/2026/0605/c8633a261025/page.psp</x:v>
      </x:c>
      <x:c r="K132" s="30" t="str">
        <x:v>M109</x:v>
      </x:c>
    </x:row>
    <x:row r="133" ht="36" customHeight="1">
      <x:c r="A133" s="30" t="str">
        <x:v>历史储备</x:v>
      </x:c>
      <x:c r="B133" s="30" t="str">
        <x:v>中</x:v>
      </x:c>
      <x:c r="C133" s="30" t="str">
        <x:v>已截止·历史储备</x:v>
      </x:c>
      <x:c r="D133" s="30" t="str">
        <x:v>重庆大学 — 山地城镇建设与新技术教育部重点实验室</x:v>
      </x:c>
      <x:c r="E133" s="30" t="str">
        <x:v>2026-06-22</x:v>
      </x:c>
      <x:c r="F133" s="30" t="str">
        <x:v>工程结构与智能监测、智慧建造、山地城镇；与机器人超声研究对象差别大</x:v>
      </x:c>
      <x:c r="G133" s="30" t="str">
        <x:v>未记录／待核</x:v>
      </x:c>
      <x:c r="H133" s="30" t="str">
        <x:v>官方首页列2027申请通知，但搜索没有取得2027具体附件和截止，绝不能把2025年发布的2026项目10月31日截止套用到2027</x:v>
      </x:c>
      <x:c r="I133" s="30" t="str">
        <x:v>关注下一年度开放指南</x:v>
      </x:c>
      <x:c r="J133" s="30" t="str">
        <x:v>https://chongjian-lab.cqu.edu.cn/</x:v>
      </x:c>
      <x:c r="K133" s="30" t="str">
        <x:v>M192</x:v>
      </x:c>
    </x:row>
    <x:row r="134" ht="36" customHeight="1">
      <x:c r="A134" s="30" t="str">
        <x:v>历史储备</x:v>
      </x:c>
      <x:c r="B134" s="30" t="str">
        <x:v>中</x:v>
      </x:c>
      <x:c r="C134" s="30" t="str">
        <x:v>已截止·历史储备</x:v>
      </x:c>
      <x:c r="D134" s="30" t="str">
        <x:v>湖北·华中师范大学 — 数字教育湖北省重点实验室</x:v>
      </x:c>
      <x:c r="E134" s="30" t="str">
        <x:v>2026-06-25</x:v>
      </x:c>
      <x:c r="F134" s="30" t="str">
        <x:v>方向/边界：教育机器人、教育智能体与多模态学习分析；场景受教育约束</x:v>
      </x:c>
      <x:c r="G134" s="30" t="str">
        <x:v>4万元/一般2万元</x:v>
      </x:c>
      <x:c r="H134" s="30" t="str">
        <x:v>资助/资格/证据：重点4万元/一般2万元；校内外双PI</x:v>
      </x:c>
      <x:c r="I134" s="30" t="str">
        <x:v>关注下一年度开放指南</x:v>
      </x:c>
      <x:c r="J134" s="30" t="str">
        <x:v>https://hrcei.ccnu.edu.cn/info/1203/3415.htm</x:v>
      </x:c>
      <x:c r="K134" s="30" t="str">
        <x:v>M130</x:v>
      </x:c>
    </x:row>
    <x:row r="135" ht="36" customHeight="1">
      <x:c r="A135" s="30" t="str">
        <x:v>历史储备</x:v>
      </x:c>
      <x:c r="B135" s="30" t="str">
        <x:v>中</x:v>
      </x:c>
      <x:c r="C135" s="30" t="str">
        <x:v>已截止·历史储备</x:v>
      </x:c>
      <x:c r="D135" s="30" t="str">
        <x:v>重庆建筑工程职业学院 — 山地城市交通设施智能检测重庆市高校工程研究中心</x:v>
      </x:c>
      <x:c r="E135" s="30" t="str">
        <x:v>2026-06-30</x:v>
      </x:c>
      <x:c r="F135" s="30" t="str">
        <x:v>巡检机器人、视觉感知、三维测量与智能优化；交通设施</x:v>
      </x:c>
      <x:c r="G135" s="30" t="str">
        <x:v>未记录／待核</x:v>
      </x:c>
      <x:c r="H135" s="30" t="str">
        <x:v>申请资格/合作条件待核</x:v>
      </x:c>
      <x:c r="I135" s="30" t="str">
        <x:v>关注下一年度开放指南</x:v>
      </x:c>
      <x:c r="J135" s="30" t="str">
        <x:v>https://www.cqjzc.edu.cn/jtys/info/1065/3085.htm</x:v>
      </x:c>
      <x:c r="K135" s="30" t="str">
        <x:v>M091</x:v>
      </x:c>
    </x:row>
    <x:row r="136" ht="36" customHeight="1">
      <x:c r="A136" s="30" t="str">
        <x:v>历史储备</x:v>
      </x:c>
      <x:c r="B136" s="30" t="str">
        <x:v>中</x:v>
      </x:c>
      <x:c r="C136" s="30" t="str">
        <x:v>已截止·历史储备</x:v>
      </x:c>
      <x:c r="D136" s="30" t="str">
        <x:v>西安交通大学第一附属医院 — 陕西省磁医学重点实验室</x:v>
      </x:c>
      <x:c r="E136" s="30" t="str">
        <x:v>2026-06-30</x:v>
      </x:c>
      <x:c r="F136" s="30" t="str">
        <x:v>磁医疗设备；磁控微型机器人；医学装备</x:v>
      </x:c>
      <x:c r="G136" s="30" t="str">
        <x:v>3-5万元</x:v>
      </x:c>
      <x:c r="H136" s="30" t="str">
        <x:v>外单位研究人员；博士或副高级以上，或硕士+中级</x:v>
      </x:c>
      <x:c r="I136" s="30" t="str">
        <x:v>关注下一年度开放指南</x:v>
      </x:c>
      <x:c r="J136" s="30" t="str">
        <x:v>https://psrm.xjtu.edu.cn/info/1028/2721.htm</x:v>
      </x:c>
      <x:c r="K136" s="30" t="str">
        <x:v>M093</x:v>
      </x:c>
    </x:row>
    <x:row r="137" ht="36" customHeight="1">
      <x:c r="A137" s="30" t="str">
        <x:v>历史储备</x:v>
      </x:c>
      <x:c r="B137" s="30" t="str">
        <x:v>中</x:v>
      </x:c>
      <x:c r="C137" s="30" t="str">
        <x:v>已截止·历史储备</x:v>
      </x:c>
      <x:c r="D137" s="30" t="str">
        <x:v>厦门大学 — 信息学院超智医疗创新研究中心</x:v>
      </x:c>
      <x:c r="E137" s="30" t="str">
        <x:v>2026-06-30</x:v>
      </x:c>
      <x:c r="F137" s="30" t="str">
        <x:v>医疗多模态数据；医学人工智能；智能诊疗</x:v>
      </x:c>
      <x:c r="G137" s="30" t="str">
        <x:v>8-18万元</x:v>
      </x:c>
      <x:c r="H137" s="30" t="str">
        <x:v>资助8-18万元；近2026-09已发布立项结果</x:v>
      </x:c>
      <x:c r="I137" s="30" t="str">
        <x:v>关注下一年度开放指南</x:v>
      </x:c>
      <x:c r="J137" s="30" t="str">
        <x:v>https://inst.xmu.edu.cn/smrc/zh_CN/article/1158484/content/2008.htm</x:v>
      </x:c>
      <x:c r="K137" s="30" t="str">
        <x:v>M099</x:v>
      </x:c>
    </x:row>
    <x:row r="138" ht="36" customHeight="1">
      <x:c r="A138" s="30" t="str">
        <x:v>历史储备</x:v>
      </x:c>
      <x:c r="B138" s="30" t="str">
        <x:v>中</x:v>
      </x:c>
      <x:c r="C138" s="30" t="str">
        <x:v>已截止·历史储备</x:v>
      </x:c>
      <x:c r="D138" s="30" t="str">
        <x:v>南京航空航天大学 — 空间智能感知与大模型应用联合实验室</x:v>
      </x:c>
      <x:c r="E138" s="30" t="str">
        <x:v>2026-06-30</x:v>
      </x:c>
      <x:c r="F138" s="30" t="str">
        <x:v>空间遥感图像分析、智能感知、深度学习；卫星应用场景限制</x:v>
      </x:c>
      <x:c r="G138" s="30" t="str">
        <x:v>20万元、一般项目约10万元</x:v>
      </x:c>
      <x:c r="H138" s="30" t="str">
        <x:v>经费/申报资格/限制：重点项目约20万元、一般项目约10万元；需对齐空间场景</x:v>
      </x:c>
      <x:c r="I138" s="30" t="str">
        <x:v>关注下一年度开放指南</x:v>
      </x:c>
      <x:c r="J138" s="30" t="str">
        <x:v>https://kyy.nuaa.edu.cn/2026/0604/c5817a400921/page.htm</x:v>
      </x:c>
      <x:c r="K138" s="30" t="str">
        <x:v>M169</x:v>
      </x:c>
    </x:row>
    <x:row r="139" ht="36" customHeight="1">
      <x:c r="A139" s="30" t="str">
        <x:v>历史储备</x:v>
      </x:c>
      <x:c r="B139" s="30" t="str">
        <x:v>中</x:v>
      </x:c>
      <x:c r="C139" s="30" t="str">
        <x:v>已截止·历史储备</x:v>
      </x:c>
      <x:c r="D139" s="30" t="str">
        <x:v>中国科学院苏州生物医学工程技术研究所 — 江苏省先进诊疗技术与装备重点实验室</x:v>
      </x:c>
      <x:c r="E139" s="30" t="str">
        <x:v>2026-07-02</x:v>
      </x:c>
      <x:c r="F139" s="30" t="str">
        <x:v>医学成像；诊疗装备；医工交叉</x:v>
      </x:c>
      <x:c r="G139" s="30" t="str">
        <x:v>未记录／待核</x:v>
      </x:c>
      <x:c r="H139" s="30" t="str">
        <x:v>当前来源为立项通知，不是申报指南</x:v>
      </x:c>
      <x:c r="I139" s="30" t="str">
        <x:v>关注下一年度开放指南</x:v>
      </x:c>
      <x:c r="J139" s="30" t="str">
        <x:v>https://sibet.cas.cn/tzgg2020/202607/t20260703_8237653.html</x:v>
      </x:c>
      <x:c r="K139" s="30" t="str">
        <x:v>M074</x:v>
      </x:c>
    </x:row>
    <x:row r="140" ht="36" customHeight="1">
      <x:c r="A140" s="30" t="str">
        <x:v>历史储备</x:v>
      </x:c>
      <x:c r="B140" s="30" t="str">
        <x:v>中</x:v>
      </x:c>
      <x:c r="C140" s="30" t="str">
        <x:v>已截止·历史储备</x:v>
      </x:c>
      <x:c r="D140" s="30" t="str">
        <x:v>北京市测绘设计研究院 — 城市空间智能感知与数字治理北京市重点实验室</x:v>
      </x:c>
      <x:c r="E140" s="30" t="str">
        <x:v>2026-07-10</x:v>
      </x:c>
      <x:c r="F140" s="30" t="str">
        <x:v>三维空间感知；点云处理；融合建模</x:v>
      </x:c>
      <x:c r="G140" s="30" t="str">
        <x:v>未记录／待核</x:v>
      </x:c>
      <x:c r="H140" s="30" t="str">
        <x:v>城市应用场景</x:v>
      </x:c>
      <x:c r="I140" s="30" t="str">
        <x:v>关注下一年度开放指南</x:v>
      </x:c>
      <x:c r="J140" s="30" t="str">
        <x:v>https://www.bism.cn/gzdt/tzgg/202607/t20260701_6664.html</x:v>
      </x:c>
      <x:c r="K140" s="30" t="str">
        <x:v>M058</x:v>
      </x:c>
    </x:row>
    <x:row r="141" ht="36" customHeight="1">
      <x:c r="A141" s="30" t="str">
        <x:v>历史储备</x:v>
      </x:c>
      <x:c r="B141" s="30" t="str">
        <x:v>中</x:v>
      </x:c>
      <x:c r="C141" s="30" t="str">
        <x:v>已截止·历史储备</x:v>
      </x:c>
      <x:c r="D141" s="30" t="str">
        <x:v>中国科学院上海微系统与信息技术研究所 — 传感器技术全国重点实验室</x:v>
      </x:c>
      <x:c r="E141" s="30" t="str">
        <x:v>2026-07-19</x:v>
      </x:c>
      <x:c r="F141" s="30" t="str">
        <x:v>柔性触觉；机器人多模态感知；医疗微创传感</x:v>
      </x:c>
      <x:c r="G141" s="30" t="str">
        <x:v>未记录／待核</x:v>
      </x:c>
      <x:c r="H141" s="30" t="str">
        <x:v>官网2026年立项结果证明实际资助手术机器人触觉研究</x:v>
      </x:c>
      <x:c r="I141" s="30" t="str">
        <x:v>关注下一年度开放指南</x:v>
      </x:c>
      <x:c r="J141" s="30" t="str">
        <x:v>https://www.sim.cas.cn/xwzx2016/tzgg2016/202606/t20260624_8232527.html</x:v>
      </x:c>
      <x:c r="K141" s="30" t="str">
        <x:v>M004</x:v>
      </x:c>
    </x:row>
    <x:row r="142" ht="36" customHeight="1">
      <x:c r="A142" s="30" t="str">
        <x:v>历史储备</x:v>
      </x:c>
      <x:c r="B142" s="30" t="str">
        <x:v>中</x:v>
      </x:c>
      <x:c r="C142" s="30" t="str">
        <x:v>已截止·历史储备</x:v>
      </x:c>
      <x:c r="D142" s="30" t="str">
        <x:v>中国铁道科学研究院集团有限公司/中国中车 — 动车组和机车牵引与控制国家重点实验室</x:v>
      </x:c>
      <x:c r="E142" s="30" t="str">
        <x:v>2026-07-28</x:v>
      </x:c>
      <x:c r="F142" s="30" t="str">
        <x:v>复杂工况机电耦合建模；智能控制；系统扰动与稳定性</x:v>
      </x:c>
      <x:c r="G142" s="30" t="str">
        <x:v>未记录／待核</x:v>
      </x:c>
      <x:c r="H142" s="30" t="str">
        <x:v>课题清单为高速列车牵引与控制，场景差异较大</x:v>
      </x:c>
      <x:c r="I142" s="30" t="str">
        <x:v>关注下一年度开放指南</x:v>
      </x:c>
      <x:c r="J142" s="30" t="str">
        <x:v>https://www.rails.cn/html/news/11/2026/20260722_69048.html</x:v>
      </x:c>
      <x:c r="K142" s="30" t="str">
        <x:v>M012</x:v>
      </x:c>
    </x:row>
    <x:row r="143" ht="36" customHeight="1">
      <x:c r="A143" s="30" t="str">
        <x:v>历史储备</x:v>
      </x:c>
      <x:c r="B143" s="30" t="str">
        <x:v>中</x:v>
      </x:c>
      <x:c r="C143" s="30" t="str">
        <x:v>已截止·历史储备</x:v>
      </x:c>
      <x:c r="D143" s="30" t="str">
        <x:v>安徽师范大学 — 安徽省智能机器人信息融合与控制工程研究中心</x:v>
      </x:c>
      <x:c r="E143" s="30" t="str">
        <x:v>2026-08-14</x:v>
      </x:c>
      <x:c r="F143" s="30" t="str">
        <x:v>机器人控制；机器人信息感知；多源融合</x:v>
      </x:c>
      <x:c r="G143" s="30" t="str">
        <x:v>2万元/项</x:v>
      </x:c>
      <x:c r="H143" s="30" t="str">
        <x:v>约2万元/项；研究期限2年</x:v>
      </x:c>
      <x:c r="I143" s="30" t="str">
        <x:v>关注下一年度开放指南</x:v>
      </x:c>
      <x:c r="J143" s="30" t="str">
        <x:v>https://iiam.ahnu.edu.cn/info/1281/4171.htm</x:v>
      </x:c>
      <x:c r="K143" s="30" t="str">
        <x:v>M063</x:v>
      </x:c>
    </x:row>
    <x:row r="144" ht="36" customHeight="1">
      <x:c r="A144" s="30" t="str">
        <x:v>历史储备</x:v>
      </x:c>
      <x:c r="B144" s="30" t="str">
        <x:v>中</x:v>
      </x:c>
      <x:c r="C144" s="30" t="str">
        <x:v>已截止·历史储备</x:v>
      </x:c>
      <x:c r="D144" s="30" t="str">
        <x:v>国家高性能医疗器械创新中心 — 开放基金·智影联创平台（第二批）</x:v>
      </x:c>
      <x:c r="E144" s="30" t="str">
        <x:v>2026-08-14</x:v>
      </x:c>
      <x:c r="F144" s="30" t="str">
        <x:v>智慧医学影像；MR/CT/MI人工智能；深度学习成像质量</x:v>
      </x:c>
      <x:c r="G144" s="30" t="str">
        <x:v>未记录／待核</x:v>
      </x:c>
      <x:c r="H144" s="30" t="str">
        <x:v>截至18:00；重点面向省市县级医院及相关单位，非超声机器人专项</x:v>
      </x:c>
      <x:c r="I144" s="30" t="str">
        <x:v>关注下一年度开放指南</x:v>
      </x:c>
      <x:c r="J144" s="30" t="str">
        <x:v>https://www.nmed.org.cn/Content/xwzx/gg/2026-07/147362_1.html</x:v>
      </x:c>
      <x:c r="K144" s="30" t="str">
        <x:v>M095</x:v>
      </x:c>
    </x:row>
    <x:row r="145" ht="36" customHeight="1">
      <x:c r="A145" s="30" t="str">
        <x:v>历史储备</x:v>
      </x:c>
      <x:c r="B145" s="30" t="str">
        <x:v>中</x:v>
      </x:c>
      <x:c r="C145" s="30" t="str">
        <x:v>已截止·历史储备</x:v>
      </x:c>
      <x:c r="D145" s="30" t="str">
        <x:v>闽江大学 — 福建省信息处理与智能控制重点实验室</x:v>
      </x:c>
      <x:c r="E145" s="30" t="str">
        <x:v>2026-08-15</x:v>
      </x:c>
      <x:c r="F145" s="30" t="str">
        <x:v>智能图像处理；信息处理；智能控制</x:v>
      </x:c>
      <x:c r="G145" s="30" t="str">
        <x:v>1万元</x:v>
      </x:c>
      <x:c r="H145" s="30" t="str">
        <x:v>每项资助1万元</x:v>
      </x:c>
      <x:c r="I145" s="30" t="str">
        <x:v>关注下一年度开放指南</x:v>
      </x:c>
      <x:c r="J145" s="30" t="str">
        <x:v>https://www.mju.edu.cn/imlab/2026/0724/c2194a223109/page.htm</x:v>
      </x:c>
      <x:c r="K145" s="30" t="str">
        <x:v>M088</x:v>
      </x:c>
    </x:row>
    <x:row r="146" ht="36" customHeight="1">
      <x:c r="A146" s="30" t="str">
        <x:v>历史储备</x:v>
      </x:c>
      <x:c r="B146" s="30" t="str">
        <x:v>中</x:v>
      </x:c>
      <x:c r="C146" s="30" t="str">
        <x:v>已截止·历史储备</x:v>
      </x:c>
      <x:c r="D146" s="30" t="str">
        <x:v>辽宁·辽宁省交通高等专科学校 — 辽宁省桥梁安全工程重点实验室</x:v>
      </x:c>
      <x:c r="E146" s="30" t="str">
        <x:v>2026-08-15</x:v>
      </x:c>
      <x:c r="F146" s="30" t="str">
        <x:v>方向/边界：桥梁水下探伤机器人、智能检测、图像感知；必须围绕桥梁安全</x:v>
      </x:c>
      <x:c r="G146" s="30" t="str">
        <x:v>5万元/一般2万元</x:v>
      </x:c>
      <x:c r="H146" s="30" t="str">
        <x:v>资助/资格/证据：重点5万元/一般2万元；校外可报</x:v>
      </x:c>
      <x:c r="I146" s="30" t="str">
        <x:v>关注下一年度开放指南</x:v>
      </x:c>
      <x:c r="J146" s="30" t="str">
        <x:v>https://www.lncc.edu.cn/kjc/info/1015/3316.htm</x:v>
      </x:c>
      <x:c r="K146" s="30" t="str">
        <x:v>M133</x:v>
      </x:c>
    </x:row>
    <x:row r="147" ht="36" customHeight="1">
      <x:c r="A147" s="30" t="str">
        <x:v>历史储备</x:v>
      </x:c>
      <x:c r="B147" s="30" t="str">
        <x:v>中</x:v>
      </x:c>
      <x:c r="C147" s="30" t="str">
        <x:v>已截止·历史储备</x:v>
      </x:c>
      <x:c r="D147" s="30" t="str">
        <x:v>北京理工大学、同济大学 — 自主智能无人系统全国重点实验室</x:v>
      </x:c>
      <x:c r="E147" s="30" t="str">
        <x:v>2026-08-20</x:v>
      </x:c>
      <x:c r="F147" s="30" t="str">
        <x:v>智能协同控制与优化决策；复杂动态场景主动感知与理解；仿生运动规划与自主控制</x:v>
      </x:c>
      <x:c r="G147" s="30" t="str">
        <x:v>5-10万元/项</x:v>
      </x:c>
      <x:c r="H147" s="30" t="str">
        <x:v>面向非本校及本实验室固定人员；博士或高级职称（中级需推荐）</x:v>
      </x:c>
      <x:c r="I147" s="30" t="str">
        <x:v>关注下一年度开放指南</x:v>
      </x:c>
      <x:c r="J147" s="30" t="str">
        <x:v>https://csicdgz.bit.edu.cn/tzgg/6e35c0a49e1740b79cd16785597940ff.htm</x:v>
      </x:c>
      <x:c r="K147" s="30" t="str">
        <x:v>M101</x:v>
      </x:c>
    </x:row>
    <x:row r="148" ht="36" customHeight="1">
      <x:c r="A148" s="30" t="str">
        <x:v>历史储备</x:v>
      </x:c>
      <x:c r="B148" s="30" t="str">
        <x:v>中</x:v>
      </x:c>
      <x:c r="C148" s="30" t="str">
        <x:v>已截止·历史储备</x:v>
      </x:c>
      <x:c r="D148" s="30" t="str">
        <x:v>深圳光明实验室 — 人工智能与数字经济广东省实验室</x:v>
      </x:c>
      <x:c r="E148" s="30" t="str">
        <x:v>2026-08-24</x:v>
      </x:c>
      <x:c r="F148" s="30" t="str">
        <x:v>具身世界模型；强化学习；三维重建；多模态学习</x:v>
      </x:c>
      <x:c r="G148" s="30" t="str">
        <x:v>未记录／待核</x:v>
      </x:c>
      <x:c r="H148" s="30" t="str">
        <x:v>申请资格/合作条件待核</x:v>
      </x:c>
      <x:c r="I148" s="30" t="str">
        <x:v>关注下一年度开放指南</x:v>
      </x:c>
      <x:c r="J148" s="30" t="str">
        <x:v>https://www.gml.ac.cn/xxgs/973.html</x:v>
      </x:c>
      <x:c r="K148" s="30" t="str">
        <x:v>M097</x:v>
      </x:c>
    </x:row>
    <x:row r="149" ht="36" customHeight="1">
      <x:c r="A149" s="30" t="str">
        <x:v>历史储备</x:v>
      </x:c>
      <x:c r="B149" s="30" t="str">
        <x:v>中</x:v>
      </x:c>
      <x:c r="C149" s="30" t="str">
        <x:v>已截止·历史储备</x:v>
      </x:c>
      <x:c r="D149" s="30" t="str">
        <x:v>东华大学 — 先进纤维材料全国重点实验室</x:v>
      </x:c>
      <x:c r="E149" s="30" t="str">
        <x:v>2026-08-30</x:v>
      </x:c>
      <x:c r="F149" s="30" t="str">
        <x:v>智能纤维制造、柔性材料；与机器人控制有间接方法交集</x:v>
      </x:c>
      <x:c r="G149" s="30" t="str">
        <x:v>5-10万元</x:v>
      </x:c>
      <x:c r="H149" s="30" t="str">
        <x:v>经费/申报资格/限制：约5-10万元；需符合纤维材料研究方向</x:v>
      </x:c>
      <x:c r="I149" s="30" t="str">
        <x:v>关注下一年度开放指南</x:v>
      </x:c>
      <x:c r="J149" s="30" t="str">
        <x:v>https://xxgk.dhu.edu.cn/2026/0727/c1482a379171/page.htm</x:v>
      </x:c>
      <x:c r="K149" s="30" t="str">
        <x:v>M176</x:v>
      </x:c>
    </x:row>
    <x:row r="150" ht="36" customHeight="1">
      <x:c r="A150" s="30" t="str">
        <x:v>历史储备</x:v>
      </x:c>
      <x:c r="B150" s="30" t="str">
        <x:v>中</x:v>
      </x:c>
      <x:c r="C150" s="30" t="str">
        <x:v>已截止·历史储备</x:v>
      </x:c>
      <x:c r="D150" s="30" t="str">
        <x:v>清华大学 — 高端装备界面科学与技术全国重点实验室</x:v>
      </x:c>
      <x:c r="E150" s="30" t="str">
        <x:v>2026-08-31</x:v>
      </x:c>
      <x:c r="F150" s="30" t="str">
        <x:v>生物摩擦学与生医机械；生物接触界面；界面粘附控制；精密机器人</x:v>
      </x:c>
      <x:c r="G150" s="30" t="str">
        <x:v>未记录／待核</x:v>
      </x:c>
      <x:c r="H150" s="30" t="str">
        <x:v>必须与固定人员有合作；主要用于实验室机时，不予外拨</x:v>
      </x:c>
      <x:c r="I150" s="30" t="str">
        <x:v>关注下一年度开放指南</x:v>
      </x:c>
      <x:c r="J150" s="30" t="str">
        <x:v>https://sklt.tsinghua.edu.cn/info/1081/3517.htm</x:v>
      </x:c>
      <x:c r="K150" s="30" t="str">
        <x:v>M016</x:v>
      </x:c>
    </x:row>
    <x:row r="151" ht="36" customHeight="1">
      <x:c r="A151" s="30" t="str">
        <x:v>历史储备</x:v>
      </x:c>
      <x:c r="B151" s="30" t="str">
        <x:v>中</x:v>
      </x:c>
      <x:c r="C151" s="30" t="str">
        <x:v>已截止·历史储备</x:v>
      </x:c>
      <x:c r="D151" s="30" t="str">
        <x:v>重庆城市职业学院 — 工业机器人运维重庆市高校工程中心</x:v>
      </x:c>
      <x:c r="E151" s="30" t="str">
        <x:v>2026-09-01</x:v>
      </x:c>
      <x:c r="F151" s="30" t="str">
        <x:v>具身机器人全场景自主运维；工业机器人与智能产线故障预测及控制</x:v>
      </x:c>
      <x:c r="G151" s="30" t="str">
        <x:v>未记录／待核</x:v>
      </x:c>
      <x:c r="H151" s="30" t="str">
        <x:v>仅工程中心合作单位人员及相关人员；非面向所有校外人员的开放征集，申请资格需先核实</x:v>
      </x:c>
      <x:c r="I151" s="30" t="str">
        <x:v>关注下一年度开放指南</x:v>
      </x:c>
      <x:c r="J151" s="30" t="str">
        <x:v>https://kyc.cqcvc.edu.cn/info.thtml?cid=74479&amp;pn=&amp;t=11322</x:v>
      </x:c>
      <x:c r="K151" s="30" t="str">
        <x:v>M103</x:v>
      </x:c>
    </x:row>
    <x:row r="152" ht="36" customHeight="1">
      <x:c r="A152" s="30" t="str">
        <x:v>历史储备</x:v>
      </x:c>
      <x:c r="B152" s="30" t="str">
        <x:v>中</x:v>
      </x:c>
      <x:c r="C152" s="30" t="str">
        <x:v>已截止·历史储备</x:v>
      </x:c>
      <x:c r="D152" s="30" t="str">
        <x:v>重庆大学 — 高端装备机械传动全国重点实验室</x:v>
      </x:c>
      <x:c r="E152" s="30" t="str">
        <x:v>2026-09-03</x:v>
      </x:c>
      <x:c r="F152" s="30" t="str">
        <x:v>工业机器人传动系统建模；机电耦合；传动系统服役行为与控制</x:v>
      </x:c>
      <x:c r="G152" s="30" t="str">
        <x:v>未记录／待核</x:v>
      </x:c>
      <x:c r="H152" s="30" t="str">
        <x:v>2026申报时间据项目数据库；实验室官网仅核实2025版规则</x:v>
      </x:c>
      <x:c r="I152" s="30" t="str">
        <x:v>关注下一年度开放指南</x:v>
      </x:c>
      <x:c r="J152" s="30" t="str">
        <x:v>https://slmt.cqu.edu.cn/</x:v>
      </x:c>
      <x:c r="K152" s="30" t="str">
        <x:v>M033</x:v>
      </x:c>
    </x:row>
    <x:row r="153" ht="36" customHeight="1">
      <x:c r="A153" s="30" t="str">
        <x:v>历史储备</x:v>
      </x:c>
      <x:c r="B153" s="30" t="str">
        <x:v>中</x:v>
      </x:c>
      <x:c r="C153" s="30" t="str">
        <x:v>已截止·历史储备</x:v>
      </x:c>
      <x:c r="D153" s="30" t="str">
        <x:v>兰州理工大学 — 成套装备智能化集成技术教育部重点实验室</x:v>
      </x:c>
      <x:c r="E153" s="30" t="str">
        <x:v>2026-09-17</x:v>
      </x:c>
      <x:c r="F153" s="30" t="str">
        <x:v>刚柔耦合动力学；多源融合；机器人轨迹规划；强化学习与智能控制</x:v>
      </x:c>
      <x:c r="G153" s="30" t="str">
        <x:v>一般2万元/重点5万元，2年（历史记录）</x:v>
      </x:c>
      <x:c r="H153" s="30" t="str">
        <x:v>博士或副高（或两名正高级推荐）；本室联系人</x:v>
      </x:c>
      <x:c r="I153" s="30" t="str">
        <x:v>关注下一年度开放指南</x:v>
      </x:c>
      <x:c r="J153" s="30" t="str">
        <x:v>https://jidian.lut.edu.cn/info/1924/18496.htm</x:v>
      </x:c>
      <x:c r="K153" s="30" t="str">
        <x:v>M053</x:v>
      </x:c>
    </x:row>
    <x:row r="154" ht="36" customHeight="1">
      <x:c r="A154" s="30" t="str">
        <x:v>历史储备</x:v>
      </x:c>
      <x:c r="B154" s="30" t="str">
        <x:v>中</x:v>
      </x:c>
      <x:c r="C154" s="30" t="str">
        <x:v>已截止·历史储备</x:v>
      </x:c>
      <x:c r="D154" s="30" t="str">
        <x:v>海南大学 — 海南省生物医学工程重点实验室</x:v>
      </x:c>
      <x:c r="E154" s="30" t="str">
        <x:v>2026-09-20</x:v>
      </x:c>
      <x:c r="F154" s="30" t="str">
        <x:v>医学图像、多模态诊疗、智能医学设备</x:v>
      </x:c>
      <x:c r="G154" s="30" t="str">
        <x:v>未记录／待核</x:v>
      </x:c>
      <x:c r="H154" s="30" t="str">
        <x:v>申请资格/合作条件待核</x:v>
      </x:c>
      <x:c r="I154" s="30" t="str">
        <x:v>关注下一年度开放指南</x:v>
      </x:c>
      <x:c r="J154" s="30" t="str">
        <x:v>https://bme.hainanu.edu.cn/info/1051/11891.htm</x:v>
      </x:c>
      <x:c r="K154" s="30" t="str">
        <x:v>M111</x:v>
      </x:c>
    </x:row>
    <x:row r="155" ht="36" customHeight="1">
      <x:c r="A155" s="30" t="str">
        <x:v>历史储备</x:v>
      </x:c>
      <x:c r="B155" s="30" t="str">
        <x:v>中</x:v>
      </x:c>
      <x:c r="C155" s="30" t="str">
        <x:v>已截止·历史储备</x:v>
      </x:c>
      <x:c r="D155" s="30" t="str">
        <x:v>华中科技大学 — 图像信息处理与智能控制教育部重点实验室</x:v>
      </x:c>
      <x:c r="E155" s="30" t="str">
        <x:v>2026-09-21</x:v>
      </x:c>
      <x:c r="F155" s="30" t="str">
        <x:v>图像处理；高级机器学习；具身智能；智能控制</x:v>
      </x:c>
      <x:c r="G155" s="30" t="str">
        <x:v>未记录／待核</x:v>
      </x:c>
      <x:c r="H155" s="30" t="str">
        <x:v>成果署名、年龄等以原指南为准</x:v>
      </x:c>
      <x:c r="I155" s="30" t="str">
        <x:v>关注下一年度开放指南</x:v>
      </x:c>
      <x:c r="J155" s="30" t="str">
        <x:v>https://aia.hust.edu.cn/info/1174/11568.htm</x:v>
      </x:c>
      <x:c r="K155" s="30" t="str">
        <x:v>M050</x:v>
      </x:c>
    </x:row>
    <x:row r="156" ht="36" customHeight="1">
      <x:c r="A156" s="30" t="str">
        <x:v>历史储备</x:v>
      </x:c>
      <x:c r="B156" s="30" t="str">
        <x:v>中</x:v>
      </x:c>
      <x:c r="C156" s="30" t="str">
        <x:v>已截止·历史储备</x:v>
      </x:c>
      <x:c r="D156" s="30" t="str">
        <x:v>江淮实验室 — 安徽省人形机器人重点实验室</x:v>
      </x:c>
      <x:c r="E156" s="30" t="str">
        <x:v>2026-09-24</x:v>
      </x:c>
      <x:c r="F156" s="30" t="str">
        <x:v>感知-决策-控制；灵巧操作；机器人运动控制</x:v>
      </x:c>
      <x:c r="G156" s="30" t="str">
        <x:v>未记录／待核</x:v>
      </x:c>
      <x:c r="H156" s="30" t="str">
        <x:v>仅指南建议征集，正式申报公告尚未证实</x:v>
      </x:c>
      <x:c r="I156" s="30" t="str">
        <x:v>关注下一年度开放指南</x:v>
      </x:c>
      <x:c r="J156" s="30" t="str">
        <x:v>https://www.jhatc.cn/html/mobile/kexue/pingtaichanpin/2098331115939979266.html</x:v>
      </x:c>
      <x:c r="K156" s="30" t="str">
        <x:v>M064</x:v>
      </x:c>
    </x:row>
    <x:row r="157" ht="36" customHeight="1">
      <x:c r="A157" s="30" t="str">
        <x:v>历史储备</x:v>
      </x:c>
      <x:c r="B157" s="30" t="str">
        <x:v>中</x:v>
      </x:c>
      <x:c r="C157" s="30" t="str">
        <x:v>已截止·历史储备</x:v>
      </x:c>
      <x:c r="D157" s="30" t="str">
        <x:v>湖北·华中师范大学 — 人工智能与智慧学习湖北省重点实验室</x:v>
      </x:c>
      <x:c r="E157" s="30" t="str">
        <x:v>2026-09-25</x:v>
      </x:c>
      <x:c r="F157" s="30" t="str">
        <x:v>方向/边界：计算机视觉、多模态学习、智能决策模型；教育应用定位</x:v>
      </x:c>
      <x:c r="G157" s="30" t="str">
        <x:v>1万元</x:v>
      </x:c>
      <x:c r="H157" s="30" t="str">
        <x:v>资助/资格/证据：15项/每项1万元；博士或中级以上职称</x:v>
      </x:c>
      <x:c r="I157" s="30" t="str">
        <x:v>关注下一年度开放指南</x:v>
      </x:c>
      <x:c r="J157" s="30" t="str">
        <x:v>https://cs.ccnu.edu.cn/info/1056/13676.htm</x:v>
      </x:c>
      <x:c r="K157" s="30" t="str">
        <x:v>M129</x:v>
      </x:c>
    </x:row>
    <x:row r="158" ht="36" customHeight="1">
      <x:c r="A158" s="30" t="str">
        <x:v>历史储备</x:v>
      </x:c>
      <x:c r="B158" s="30" t="str">
        <x:v>中</x:v>
      </x:c>
      <x:c r="C158" s="30" t="str">
        <x:v>已截止·历史储备</x:v>
      </x:c>
      <x:c r="D158" s="30" t="str">
        <x:v>云南大学 — 云南省智能系统与计算重点实验室</x:v>
      </x:c>
      <x:c r="E158" s="30" t="str">
        <x:v>2026-09-27</x:v>
      </x:c>
      <x:c r="F158" s="30" t="str">
        <x:v>多智能体决策；智能计算；自主控制</x:v>
      </x:c>
      <x:c r="G158" s="30" t="str">
        <x:v>重点≤8万元/一般≤2万元/定向1万元，1年（历史记录）</x:v>
      </x:c>
      <x:c r="H158" s="30" t="str">
        <x:v>申请资格/合作条件待核</x:v>
      </x:c>
      <x:c r="I158" s="30" t="str">
        <x:v>关注下一年度开放指南</x:v>
      </x:c>
      <x:c r="J158" s="30" t="str">
        <x:v>https://www.ise.ynu.edu.cn/page/166/?news_list_id=3</x:v>
      </x:c>
      <x:c r="K158" s="30" t="str">
        <x:v>M057</x:v>
      </x:c>
    </x:row>
    <x:row r="159" ht="36" customHeight="1">
      <x:c r="A159" s="30" t="str">
        <x:v>历史储备</x:v>
      </x:c>
      <x:c r="B159" s="30" t="str">
        <x:v>中</x:v>
      </x:c>
      <x:c r="C159" s="30" t="str">
        <x:v>已截止·历史储备</x:v>
      </x:c>
      <x:c r="D159" s="30" t="str">
        <x:v>中国科学院计算技术研究所 — 智能算法安全全国重点实验室</x:v>
      </x:c>
      <x:c r="E159" s="30" t="str">
        <x:v>2026-09-30</x:v>
      </x:c>
      <x:c r="F159" s="30" t="str">
        <x:v>多模态可信表征、VLA机器人安全、鲁棒感知、端侧智能系统安全</x:v>
      </x:c>
      <x:c r="G159" s="30" t="str">
        <x:v>10-15万元</x:v>
      </x:c>
      <x:c r="H159" s="30" t="str">
        <x:v>主要为智能算法安全研究而非医学机器人任务；10-15万元</x:v>
      </x:c>
      <x:c r="I159" s="30" t="str">
        <x:v>关注下一年度开放指南</x:v>
      </x:c>
      <x:c r="J159" s="30" t="str">
        <x:v>https://klais.ict.ac.cn/tzgg/xmzj/202609/t20260908_856264.html</x:v>
      </x:c>
      <x:c r="K159" s="30" t="str">
        <x:v>M011</x:v>
      </x:c>
    </x:row>
    <x:row r="160" ht="36" customHeight="1">
      <x:c r="A160" s="30" t="str">
        <x:v>历史储备</x:v>
      </x:c>
      <x:c r="B160" s="30" t="str">
        <x:v>低</x:v>
      </x:c>
      <x:c r="C160" s="30" t="str">
        <x:v>已截止·历史储备</x:v>
      </x:c>
      <x:c r="D160" s="30" t="str">
        <x:v>东南大学 — 新一代人工智能技术与交叉应用教育部重点实验室</x:v>
      </x:c>
      <x:c r="E160" s="30" t="str">
        <x:v>2024-11-30</x:v>
      </x:c>
      <x:c r="F160" s="30" t="str">
        <x:v>医学影像；智能学习；手术规划</x:v>
      </x:c>
      <x:c r="G160" s="30" t="str">
        <x:v>未记录／待核</x:v>
      </x:c>
      <x:c r="H160" s="30" t="str">
        <x:v>申请资格/合作条件待核</x:v>
      </x:c>
      <x:c r="I160" s="30" t="str">
        <x:v>关注下一年度开放指南</x:v>
      </x:c>
      <x:c r="J160" s="30" t="str">
        <x:v>https://aiia.seu.edu.cn/2024/1010/c50239a505891/page.htm</x:v>
      </x:c>
      <x:c r="K160" s="30" t="str">
        <x:v>M046</x:v>
      </x:c>
    </x:row>
    <x:row r="161" ht="36" customHeight="1">
      <x:c r="A161" s="30" t="str">
        <x:v>历史储备</x:v>
      </x:c>
      <x:c r="B161" s="30" t="str">
        <x:v>低</x:v>
      </x:c>
      <x:c r="C161" s="30" t="str">
        <x:v>已截止·历史储备</x:v>
      </x:c>
      <x:c r="D161" s="30" t="str">
        <x:v>贵州师范学院 — 贵州省人工智能与类脑计算全省重点实验室</x:v>
      </x:c>
      <x:c r="E161" s="30" t="str">
        <x:v>2025-01-12</x:v>
      </x:c>
      <x:c r="F161" s="30" t="str">
        <x:v>类脑智能、自适应学习、智能系统</x:v>
      </x:c>
      <x:c r="G161" s="30" t="str">
        <x:v>未记录／待核</x:v>
      </x:c>
      <x:c r="H161" s="30" t="str">
        <x:v>申请资格/合作条件待核</x:v>
      </x:c>
      <x:c r="I161" s="30" t="str">
        <x:v>关注下一年度开放指南</x:v>
      </x:c>
      <x:c r="J161" s="30" t="str">
        <x:v>https://ailab.gznc.edu.cn/info/1262/1091.htm</x:v>
      </x:c>
      <x:c r="K161" s="30" t="str">
        <x:v>M127</x:v>
      </x:c>
    </x:row>
    <x:row r="162" ht="36" customHeight="1">
      <x:c r="A162" s="30" t="str">
        <x:v>历史储备</x:v>
      </x:c>
      <x:c r="B162" s="30" t="str">
        <x:v>低</x:v>
      </x:c>
      <x:c r="C162" s="30" t="str">
        <x:v>已截止·历史储备</x:v>
      </x:c>
      <x:c r="D162" s="30" t="str">
        <x:v>宁夏大学 — 宁夏数学基础学科研究中心</x:v>
      </x:c>
      <x:c r="E162" s="30" t="str">
        <x:v>2025-10-30</x:v>
      </x:c>
      <x:c r="F162" s="30" t="str">
        <x:v>非线性动力系统；人工智能；生物医学数学建模</x:v>
      </x:c>
      <x:c r="G162" s="30" t="str">
        <x:v>未记录／待核</x:v>
      </x:c>
      <x:c r="H162" s="30" t="str">
        <x:v>申请资格/合作条件待核</x:v>
      </x:c>
      <x:c r="I162" s="30" t="str">
        <x:v>关注下一年度开放指南</x:v>
      </x:c>
      <x:c r="J162" s="30" t="str">
        <x:v>https://nxmc.nxu.edu.cn/info/1016/1229.htm</x:v>
      </x:c>
      <x:c r="K162" s="30" t="str">
        <x:v>M094</x:v>
      </x:c>
    </x:row>
    <x:row r="163" ht="36" customHeight="1">
      <x:c r="A163" s="30" t="str">
        <x:v>历史储备</x:v>
      </x:c>
      <x:c r="B163" s="30" t="str">
        <x:v>低</x:v>
      </x:c>
      <x:c r="C163" s="30" t="str">
        <x:v>已截止·历史储备</x:v>
      </x:c>
      <x:c r="D163" s="30" t="str">
        <x:v>南京航空航天大学 — 航空航天结构力学及控制全国重点实验室</x:v>
      </x:c>
      <x:c r="E163" s="30" t="str">
        <x:v>2025-11-07</x:v>
      </x:c>
      <x:c r="F163" s="30" t="str">
        <x:v>结构动力学；耦合系统建模；先进控制</x:v>
      </x:c>
      <x:c r="G163" s="30" t="str">
        <x:v>未记录／待核</x:v>
      </x:c>
      <x:c r="H163" s="30" t="str">
        <x:v>申请资格/合作条件待核</x:v>
      </x:c>
      <x:c r="I163" s="30" t="str">
        <x:v>关注下一年度开放指南</x:v>
      </x:c>
      <x:c r="J163" s="30" t="str">
        <x:v>https://skl.nuaa.edu.cn/2025/1017/c4738a385555/page.htm</x:v>
      </x:c>
      <x:c r="K163" s="30" t="str">
        <x:v>M022</x:v>
      </x:c>
    </x:row>
    <x:row r="164" ht="36" customHeight="1">
      <x:c r="A164" s="30" t="str">
        <x:v>历史储备</x:v>
      </x:c>
      <x:c r="B164" s="30" t="str">
        <x:v>低</x:v>
      </x:c>
      <x:c r="C164" s="30" t="str">
        <x:v>已截止·历史储备</x:v>
      </x:c>
      <x:c r="D164" s="30" t="str">
        <x:v>南京工业大学 — 材料化学工程全国重点实验室</x:v>
      </x:c>
      <x:c r="E164" s="30" t="str">
        <x:v>2025-11-10</x:v>
      </x:c>
      <x:c r="F164" s="30" t="str">
        <x:v>材料多物理建模、过程控制；化工场景限定</x:v>
      </x:c>
      <x:c r="G164" s="30" t="str">
        <x:v>3-10万元</x:v>
      </x:c>
      <x:c r="H164" s="30" t="str">
        <x:v>经费/申报资格/限制：单项约3-10万元；2026年度但申请截止发生于2025年</x:v>
      </x:c>
      <x:c r="I164" s="30" t="str">
        <x:v>关注下一年度开放指南</x:v>
      </x:c>
      <x:c r="J164" s="30" t="str">
        <x:v>https://mce.njtech.edu.cn/info/1058/1987.htm</x:v>
      </x:c>
      <x:c r="K164" s="30" t="str">
        <x:v>M173</x:v>
      </x:c>
    </x:row>
    <x:row r="165" ht="36" customHeight="1">
      <x:c r="A165" s="30" t="str">
        <x:v>历史储备</x:v>
      </x:c>
      <x:c r="B165" s="30" t="str">
        <x:v>低</x:v>
      </x:c>
      <x:c r="C165" s="30" t="str">
        <x:v>已截止·历史储备</x:v>
      </x:c>
      <x:c r="D165" s="30" t="str">
        <x:v>湖南大学 — 整车先进设计制造技术全国重点实验室</x:v>
      </x:c>
      <x:c r="E165" s="30" t="str">
        <x:v>2025-11-15</x:v>
      </x:c>
      <x:c r="F165" s="30" t="str">
        <x:v>智能设计、复杂动态系统建模、汽车安全与人机系统；车辆场景限定</x:v>
      </x:c>
      <x:c r="G165" s="30" t="str">
        <x:v>未记录／待核</x:v>
      </x:c>
      <x:c r="H165" s="30" t="str">
        <x:v>主要对211/985高校及科研机构外部科研人员开放；整车场景差异较大</x:v>
      </x:c>
      <x:c r="I165" s="30" t="str">
        <x:v>关注下一年度开放指南</x:v>
      </x:c>
      <x:c r="J165" s="30" t="str">
        <x:v>https://dmvb.hnu.edu.cn/info/1012/2232.htm</x:v>
      </x:c>
      <x:c r="K165" s="30" t="str">
        <x:v>M030</x:v>
      </x:c>
    </x:row>
    <x:row r="166" ht="36" customHeight="1">
      <x:c r="A166" s="30" t="str">
        <x:v>历史储备</x:v>
      </x:c>
      <x:c r="B166" s="30" t="str">
        <x:v>低</x:v>
      </x:c>
      <x:c r="C166" s="30" t="str">
        <x:v>已截止·历史储备</x:v>
      </x:c>
      <x:c r="D166" s="30" t="str">
        <x:v>安徽工业大学 — 电力电子与运动控制安徽普通高校重点实验室</x:v>
      </x:c>
      <x:c r="E166" s="30" t="str">
        <x:v>2025-11-30</x:v>
      </x:c>
      <x:c r="F166" s="30" t="str">
        <x:v>运动控制；非线性动态建模；自适应控制</x:v>
      </x:c>
      <x:c r="G166" s="30" t="str">
        <x:v>未记录／待核</x:v>
      </x:c>
      <x:c r="H166" s="30" t="str">
        <x:v>申请资格/合作条件待核</x:v>
      </x:c>
      <x:c r="I166" s="30" t="str">
        <x:v>关注下一年度开放指南</x:v>
      </x:c>
      <x:c r="J166" s="30" t="str">
        <x:v>https://www.ahut.edu.cn/info/1022/27329.htm</x:v>
      </x:c>
      <x:c r="K166" s="30" t="str">
        <x:v>M062</x:v>
      </x:c>
    </x:row>
    <x:row r="167" ht="36" customHeight="1">
      <x:c r="A167" s="30" t="str">
        <x:v>历史储备</x:v>
      </x:c>
      <x:c r="B167" s="30" t="str">
        <x:v>低</x:v>
      </x:c>
      <x:c r="C167" s="30" t="str">
        <x:v>已截止·历史储备</x:v>
      </x:c>
      <x:c r="D167" s="30" t="str">
        <x:v>贵州大学 — 贵州省山地智能农机全省重点实验室</x:v>
      </x:c>
      <x:c r="E167" s="30" t="str">
        <x:v>2025-12-20</x:v>
      </x:c>
      <x:c r="F167" s="30" t="str">
        <x:v>采收机器人视觉识别；多模态融合；控制</x:v>
      </x:c>
      <x:c r="G167" s="30" t="str">
        <x:v>未记录／待核</x:v>
      </x:c>
      <x:c r="H167" s="30" t="str">
        <x:v>农业机械任务场景</x:v>
      </x:c>
      <x:c r="I167" s="30" t="str">
        <x:v>关注下一年度开放指南</x:v>
      </x:c>
      <x:c r="J167" s="30" t="str">
        <x:v>https://st.gzu.edu.cn/2025/1111/c17883a261119/page.htm</x:v>
      </x:c>
      <x:c r="K167" s="30" t="str">
        <x:v>M089</x:v>
      </x:c>
    </x:row>
    <x:row r="168" ht="36" customHeight="1">
      <x:c r="A168" s="30" t="str">
        <x:v>历史储备</x:v>
      </x:c>
      <x:c r="B168" s="30" t="str">
        <x:v>低</x:v>
      </x:c>
      <x:c r="C168" s="30" t="str">
        <x:v>已截止·历史储备</x:v>
      </x:c>
      <x:c r="D168" s="30" t="str">
        <x:v>华东理工大学 — 能源化工过程智能制造教育部重点实验室</x:v>
      </x:c>
      <x:c r="E168" s="30" t="str">
        <x:v>2025-12-31</x:v>
      </x:c>
      <x:c r="F168" s="30" t="str">
        <x:v>多源感知、系统建模、复杂系统优化、智能控制；工业化工场景</x:v>
      </x:c>
      <x:c r="G168" s="30" t="str">
        <x:v>未记录／待核</x:v>
      </x:c>
      <x:c r="H168" s="30" t="str">
        <x:v>申请资格/合作条件待核</x:v>
      </x:c>
      <x:c r="I168" s="30" t="str">
        <x:v>关注下一年度开放指南</x:v>
      </x:c>
      <x:c r="J168" s="30" t="str">
        <x:v>https://smecp-lab.ecust.edu.cn/2024/1112/c9813a172788/page.htm</x:v>
      </x:c>
      <x:c r="K168" s="30" t="str">
        <x:v>M036</x:v>
      </x:c>
    </x:row>
    <x:row r="169" ht="36" customHeight="1">
      <x:c r="A169" s="30" t="str">
        <x:v>历史储备</x:v>
      </x:c>
      <x:c r="B169" s="30" t="str">
        <x:v>低</x:v>
      </x:c>
      <x:c r="C169" s="30" t="str">
        <x:v>已截止·历史储备</x:v>
      </x:c>
      <x:c r="D169" s="30" t="str">
        <x:v>浙江大学 — 工业控制技术全国重点实验室</x:v>
      </x:c>
      <x:c r="E169" s="30" t="str">
        <x:v>2026-03-20</x:v>
      </x:c>
      <x:c r="F169" s="30" t="str">
        <x:v>智能实时优化；复杂系统先进控制；感知与智能无人系统</x:v>
      </x:c>
      <x:c r="G169" s="30" t="str">
        <x:v>未记录／待核</x:v>
      </x:c>
      <x:c r="H169" s="30" t="str">
        <x:v>2026-2027年度；有另外的湖控专项，仅限湖州本地单位</x:v>
      </x:c>
      <x:c r="I169" s="30" t="str">
        <x:v>关注下一年度开放指南</x:v>
      </x:c>
      <x:c r="J169" s="30" t="str">
        <x:v>https://sklict.zju.edu.cn/2025/0311/c85587a3136919/page.htm</x:v>
      </x:c>
      <x:c r="K169" s="30" t="str">
        <x:v>M024</x:v>
      </x:c>
    </x:row>
    <x:row r="170" ht="36" customHeight="1">
      <x:c r="A170" s="30" t="str">
        <x:v>历史储备</x:v>
      </x:c>
      <x:c r="B170" s="30" t="str">
        <x:v>低</x:v>
      </x:c>
      <x:c r="C170" s="30" t="str">
        <x:v>已截止·历史储备</x:v>
      </x:c>
      <x:c r="D170" s="30" t="str">
        <x:v>复旦大学 — 计算神经科学与类脑智能教育部重点实验室</x:v>
      </x:c>
      <x:c r="E170" s="30" t="str">
        <x:v>2026-04-10</x:v>
      </x:c>
      <x:c r="F170" s="30" t="str">
        <x:v>类脑智能学习；认知决策；智能计算方法</x:v>
      </x:c>
      <x:c r="G170" s="30" t="str">
        <x:v>2-3万元</x:v>
      </x:c>
      <x:c r="H170" s="30" t="str">
        <x:v>2-3万元；需共同署名</x:v>
      </x:c>
      <x:c r="I170" s="30" t="str">
        <x:v>关注下一年度开放指南</x:v>
      </x:c>
      <x:c r="J170" s="30" t="str">
        <x:v>https://cnbi.fudan.edu.cn/info/1046/2720.htm</x:v>
      </x:c>
      <x:c r="K170" s="30" t="str">
        <x:v>M037</x:v>
      </x:c>
    </x:row>
    <x:row r="171" ht="36" customHeight="1">
      <x:c r="A171" s="30" t="str">
        <x:v>历史储备</x:v>
      </x:c>
      <x:c r="B171" s="30" t="str">
        <x:v>低</x:v>
      </x:c>
      <x:c r="C171" s="30" t="str">
        <x:v>已截止·历史储备</x:v>
      </x:c>
      <x:c r="D171" s="30" t="str">
        <x:v>南京大学 — 关键地球物质循环与成矿全国重点实验室</x:v>
      </x:c>
      <x:c r="E171" s="30" t="str">
        <x:v>2026-04-15</x:v>
      </x:c>
      <x:c r="F171" s="30" t="str">
        <x:v>数据智能表征、地质系统建模；与超声机器人研究对象相差较大</x:v>
      </x:c>
      <x:c r="G171" s="30" t="str">
        <x:v>10万元</x:v>
      </x:c>
      <x:c r="H171" s="30" t="str">
        <x:v>经费/申报资格/限制：15-20项，均额约10万元；地质矿产方向</x:v>
      </x:c>
      <x:c r="I171" s="30" t="str">
        <x:v>关注下一年度开放指南</x:v>
      </x:c>
      <x:c r="J171" s="30" t="str">
        <x:v>https://lamd.nju.edu.cn/info/1021/1223.htm</x:v>
      </x:c>
      <x:c r="K171" s="30" t="str">
        <x:v>M170</x:v>
      </x:c>
    </x:row>
    <x:row r="172" ht="36" customHeight="1">
      <x:c r="A172" s="30" t="str">
        <x:v>历史储备</x:v>
      </x:c>
      <x:c r="B172" s="30" t="str">
        <x:v>低</x:v>
      </x:c>
      <x:c r="C172" s="30" t="str">
        <x:v>已截止·历史储备</x:v>
      </x:c>
      <x:c r="D172" s="30" t="str">
        <x:v>四川文理学院 — 智能无人系统技术四川省高等学校重点实验室</x:v>
      </x:c>
      <x:c r="E172" s="30" t="str">
        <x:v>2026-04-30</x:v>
      </x:c>
      <x:c r="F172" s="30" t="str">
        <x:v>多源感知；高精度运动控制；轨迹规划；系统优化</x:v>
      </x:c>
      <x:c r="G172" s="30" t="str">
        <x:v>未记录／待核</x:v>
      </x:c>
      <x:c r="H172" s="30" t="str">
        <x:v>要求工程应用证明；偏无人系统</x:v>
      </x:c>
      <x:c r="I172" s="30" t="str">
        <x:v>关注下一年度开放指南</x:v>
      </x:c>
      <x:c r="J172" s="30" t="str">
        <x:v>https://jqr.sasu.edu.cn/info/1009/1062.htm</x:v>
      </x:c>
      <x:c r="K172" s="30" t="str">
        <x:v>M059</x:v>
      </x:c>
    </x:row>
    <x:row r="173" ht="36" customHeight="1">
      <x:c r="A173" s="30" t="str">
        <x:v>历史储备</x:v>
      </x:c>
      <x:c r="B173" s="30" t="str">
        <x:v>低</x:v>
      </x:c>
      <x:c r="C173" s="30" t="str">
        <x:v>已截止·历史储备</x:v>
      </x:c>
      <x:c r="D173" s="30" t="str">
        <x:v>中国科学院脑科学与智能技术卓越创新中心 — 脑认知与类脑智能全国重点实验室</x:v>
      </x:c>
      <x:c r="E173" s="30" t="str">
        <x:v>2026-05-06</x:v>
      </x:c>
      <x:c r="F173" s="30" t="str">
        <x:v>类脑/具身智能；学习算法；智能决策</x:v>
      </x:c>
      <x:c r="G173" s="30" t="str">
        <x:v>未记录／待核</x:v>
      </x:c>
      <x:c r="H173" s="30" t="str">
        <x:v>更多偏理论</x:v>
      </x:c>
      <x:c r="I173" s="30" t="str">
        <x:v>关注下一年度开放指南</x:v>
      </x:c>
      <x:c r="J173" s="30" t="str">
        <x:v>https://www.cebsit.cas.cn/nrzylnznzdsys/kfkt/202604/t20260407_8182418.html</x:v>
      </x:c>
      <x:c r="K173" s="30" t="str">
        <x:v>M005</x:v>
      </x:c>
    </x:row>
    <x:row r="174" ht="36" customHeight="1">
      <x:c r="A174" s="30" t="str">
        <x:v>历史储备</x:v>
      </x:c>
      <x:c r="B174" s="30" t="str">
        <x:v>低</x:v>
      </x:c>
      <x:c r="C174" s="30" t="str">
        <x:v>已截止·历史储备</x:v>
      </x:c>
      <x:c r="D174" s="30" t="str">
        <x:v>东南大学 — 能源热转换及其过程测控教育部重点实验室</x:v>
      </x:c>
      <x:c r="E174" s="30" t="str">
        <x:v>2026-05-15</x:v>
      </x:c>
      <x:c r="F174" s="30" t="str">
        <x:v>复杂系统过程测控、数据驱动调节；热能应用限定</x:v>
      </x:c>
      <x:c r="G174" s="30" t="str">
        <x:v>2万元</x:v>
      </x:c>
      <x:c r="H174" s="30" t="str">
        <x:v>经费/申报资格/限制：资助约2万元，能源/热转换对象限定</x:v>
      </x:c>
      <x:c r="I174" s="30" t="str">
        <x:v>关注下一年度开放指南</x:v>
      </x:c>
      <x:c r="J174" s="30" t="str">
        <x:v>https://etcc.seu.edu.cn/2026/0428/c7052a566005/page.htm</x:v>
      </x:c>
      <x:c r="K174" s="30" t="str">
        <x:v>M168</x:v>
      </x:c>
    </x:row>
    <x:row r="175" ht="36" customHeight="1">
      <x:c r="A175" s="30" t="str">
        <x:v>历史储备</x:v>
      </x:c>
      <x:c r="B175" s="30" t="str">
        <x:v>低</x:v>
      </x:c>
      <x:c r="C175" s="30" t="str">
        <x:v>已截止·历史储备</x:v>
      </x:c>
      <x:c r="D175" s="30" t="str">
        <x:v>深圳大学 — 射频异质异构集成全国重点实验室</x:v>
      </x:c>
      <x:c r="E175" s="30" t="str">
        <x:v>2026-05-17</x:v>
      </x:c>
      <x:c r="F175" s="30" t="str">
        <x:v>多物理场设计、测试表征、射频技术；与超声接触控制匹配低</x:v>
      </x:c>
      <x:c r="G175" s="30" t="str">
        <x:v>未记录／待核</x:v>
      </x:c>
      <x:c r="H175" s="30" t="str">
        <x:v>经费/申报资格/限制：面向国内外学者，需双版申报材料及论文署名规定</x:v>
      </x:c>
      <x:c r="I175" s="30" t="str">
        <x:v>关注下一年度开放指南</x:v>
      </x:c>
      <x:c r="J175" s="30" t="str">
        <x:v>https://hi-rfskl.szu.edu.cn/info/1032/1875.htm</x:v>
      </x:c>
      <x:c r="K175" s="30" t="str">
        <x:v>M178</x:v>
      </x:c>
    </x:row>
    <x:row r="176" ht="36" customHeight="1">
      <x:c r="A176" s="30" t="str">
        <x:v>历史储备</x:v>
      </x:c>
      <x:c r="B176" s="30" t="str">
        <x:v>低</x:v>
      </x:c>
      <x:c r="C176" s="30" t="str">
        <x:v>已截止·历史储备</x:v>
      </x:c>
      <x:c r="D176" s="30" t="str">
        <x:v>西华大学 — 汽车测控与安全四川省重点实验室</x:v>
      </x:c>
      <x:c r="E176" s="30" t="str">
        <x:v>2026-05-20</x:v>
      </x:c>
      <x:c r="F176" s="30" t="str">
        <x:v>智能测控、系统建模、控制；汽车应用限定</x:v>
      </x:c>
      <x:c r="G176" s="30" t="str">
        <x:v>未记录／待核</x:v>
      </x:c>
      <x:c r="H176" s="30" t="str">
        <x:v>申请资格/合作条件待核</x:v>
      </x:c>
      <x:c r="I176" s="30" t="str">
        <x:v>关注下一年度开放指南</x:v>
      </x:c>
      <x:c r="J176" s="30" t="str">
        <x:v>https://qc.xhu.edu.cn/a7/f0/c692a239600/page.htm</x:v>
      </x:c>
      <x:c r="K176" s="30" t="str">
        <x:v>M124</x:v>
      </x:c>
    </x:row>
    <x:row r="177" ht="36" customHeight="1">
      <x:c r="A177" s="30" t="str">
        <x:v>历史储备</x:v>
      </x:c>
      <x:c r="B177" s="30" t="str">
        <x:v>低</x:v>
      </x:c>
      <x:c r="C177" s="30" t="str">
        <x:v>已截止·历史储备</x:v>
      </x:c>
      <x:c r="D177" s="30" t="str">
        <x:v>西华大学 — 新能源汽车智能控制与仿真测试技术四川省工程研究中心</x:v>
      </x:c>
      <x:c r="E177" s="30" t="str">
        <x:v>2026-05-20</x:v>
      </x:c>
      <x:c r="F177" s="30" t="str">
        <x:v>智能控制、动态仿真、测试技术；汽车应用限定</x:v>
      </x:c>
      <x:c r="G177" s="30" t="str">
        <x:v>未记录／待核</x:v>
      </x:c>
      <x:c r="H177" s="30" t="str">
        <x:v>申请资格/合作条件待核</x:v>
      </x:c>
      <x:c r="I177" s="30" t="str">
        <x:v>关注下一年度开放指南</x:v>
      </x:c>
      <x:c r="J177" s="30" t="str">
        <x:v>https://qc.xhu.edu.cn/a7/f0/c692a239600/page.htm</x:v>
      </x:c>
      <x:c r="K177" s="30" t="str">
        <x:v>M125</x:v>
      </x:c>
    </x:row>
    <x:row r="178" ht="36" customHeight="1">
      <x:c r="A178" s="30" t="str">
        <x:v>历史储备</x:v>
      </x:c>
      <x:c r="B178" s="30" t="str">
        <x:v>低</x:v>
      </x:c>
      <x:c r="C178" s="30" t="str">
        <x:v>已截止·历史储备</x:v>
      </x:c>
      <x:c r="D178" s="30" t="str">
        <x:v>陕西·西北工业大学 — 凝固技术全国重点实验室</x:v>
      </x:c>
      <x:c r="E178" s="30" t="str">
        <x:v>2026-05-20</x:v>
      </x:c>
      <x:c r="F178" s="30" t="str">
        <x:v>方向/边界：凝固过程动态建模、数字集成与智能装备；与医疗机器人的研究对象差异极大</x:v>
      </x:c>
      <x:c r="G178" s="30" t="str">
        <x:v>10—15万元/重点20—30万元</x:v>
      </x:c>
      <x:c r="H178" s="30" t="str">
        <x:v>资助/资格/证据：探索10—15万元/重点20—30万元，内容须为凝固技术；广泛发现后暂列方法弱相关，不作为优先申报</x:v>
      </x:c>
      <x:c r="I178" s="30" t="str">
        <x:v>关注下一年度开放指南</x:v>
      </x:c>
      <x:c r="J178" s="30" t="str">
        <x:v>https://sklsp.nwpu.edu.cn/info/2041/12902.htm</x:v>
      </x:c>
      <x:c r="K178" s="30" t="str">
        <x:v>M134</x:v>
      </x:c>
    </x:row>
    <x:row r="179" ht="36" customHeight="1">
      <x:c r="A179" s="30" t="str">
        <x:v>历史储备</x:v>
      </x:c>
      <x:c r="B179" s="30" t="str">
        <x:v>低</x:v>
      </x:c>
      <x:c r="C179" s="30" t="str">
        <x:v>已截止·历史储备</x:v>
      </x:c>
      <x:c r="D179" s="30" t="str">
        <x:v>河南·郑州佛光发电设备股份有限公司/郑州大学 — 河南省金属燃料电池重点实验室</x:v>
      </x:c>
      <x:c r="E179" s="30" t="str">
        <x:v>2026-05-20</x:v>
      </x:c>
      <x:c r="F179" s="30" t="str">
        <x:v>方向/边界：智能控制、系统优化等属于弱方法交集；主体是金属燃料电池与能源系统，现有机器人超声课题不宜直接申报</x:v>
      </x:c>
      <x:c r="G179" s="30" t="str">
        <x:v>5—10万元/2年</x:v>
      </x:c>
      <x:c r="H179" s="30" t="str">
        <x:v>资助/资格/证据：5—10万元/2年；博士（含在读）或高级职称可申请</x:v>
      </x:c>
      <x:c r="I179" s="30" t="str">
        <x:v>关注下一年度开放指南</x:v>
      </x:c>
      <x:c r="J179" s="30" t="str">
        <x:v>https://www7.zzu.edu.cn/kjc/info/1066/4407.htm</x:v>
      </x:c>
      <x:c r="K179" s="30" t="str">
        <x:v>M139</x:v>
      </x:c>
    </x:row>
    <x:row r="180" ht="36" customHeight="1">
      <x:c r="A180" s="30" t="str">
        <x:v>历史储备</x:v>
      </x:c>
      <x:c r="B180" s="30" t="str">
        <x:v>低</x:v>
      </x:c>
      <x:c r="C180" s="30" t="str">
        <x:v>已截止·历史储备</x:v>
      </x:c>
      <x:c r="D180" s="30" t="str">
        <x:v>徐工集团 — 高端工程机械智能制造全国重点实验室</x:v>
      </x:c>
      <x:c r="E180" s="30" t="str">
        <x:v>2026-05-22</x:v>
      </x:c>
      <x:c r="F180" s="30" t="str">
        <x:v>智能工程机械；多源感知；高端装备运动控制与优化</x:v>
      </x:c>
      <x:c r="G180" s="30" t="str">
        <x:v>未记录／待核</x:v>
      </x:c>
      <x:c r="H180" s="30" t="str">
        <x:v>按固定指南研究内容和成果考核；工程机械应用约束</x:v>
      </x:c>
      <x:c r="I180" s="30" t="str">
        <x:v>关注下一年度开放指南</x:v>
      </x:c>
      <x:c r="J180" s="30" t="str">
        <x:v>https://keyanchu.syuct.edu.cn/info/1028/2043.htm</x:v>
      </x:c>
      <x:c r="K180" s="30" t="str">
        <x:v>M023</x:v>
      </x:c>
    </x:row>
    <x:row r="181" ht="36" customHeight="1">
      <x:c r="A181" s="30" t="str">
        <x:v>历史储备</x:v>
      </x:c>
      <x:c r="B181" s="30" t="str">
        <x:v>低</x:v>
      </x:c>
      <x:c r="C181" s="30" t="str">
        <x:v>已截止·历史储备</x:v>
      </x:c>
      <x:c r="D181" s="30" t="str">
        <x:v>福州外语外贸学院 — 数据科学与智能计算重点实验室</x:v>
      </x:c>
      <x:c r="E181" s="30" t="str">
        <x:v>2026-05-25</x:v>
      </x:c>
      <x:c r="F181" s="30" t="str">
        <x:v>医学图像；最优化算法；机器视觉；智能决策</x:v>
      </x:c>
      <x:c r="G181" s="30" t="str">
        <x:v>金额/期限：0.5万—2万元（历史记录）</x:v>
      </x:c>
      <x:c r="H181" s="30" t="str">
        <x:v>申请资格/合作条件待核</x:v>
      </x:c>
      <x:c r="I181" s="30" t="str">
        <x:v>关注下一年度开放指南</x:v>
      </x:c>
      <x:c r="J181" s="30" t="str">
        <x:v>https://www.fzfu.com/bigdata/info/1171/4977.htm</x:v>
      </x:c>
      <x:c r="K181" s="30" t="str">
        <x:v>M087</x:v>
      </x:c>
    </x:row>
    <x:row r="182" ht="36" customHeight="1">
      <x:c r="A182" s="30" t="str">
        <x:v>历史储备</x:v>
      </x:c>
      <x:c r="B182" s="30" t="str">
        <x:v>低</x:v>
      </x:c>
      <x:c r="C182" s="30" t="str">
        <x:v>已截止·历史储备</x:v>
      </x:c>
      <x:c r="D182" s="30" t="str">
        <x:v>山东大学齐鲁第二医院 — 山东省癌症数字医疗重点实验室（筹）</x:v>
      </x:c>
      <x:c r="E182" s="30" t="str">
        <x:v>2026-05-31</x:v>
      </x:c>
      <x:c r="F182" s="30" t="str">
        <x:v>医学影像智能分析；智慧诊疗</x:v>
      </x:c>
      <x:c r="G182" s="30" t="str">
        <x:v>未记录／待核</x:v>
      </x:c>
      <x:c r="H182" s="30" t="str">
        <x:v>申请资格/合作条件待核</x:v>
      </x:c>
      <x:c r="I182" s="30" t="str">
        <x:v>关注下一年度开放指南</x:v>
      </x:c>
      <x:c r="J182" s="30" t="str">
        <x:v>https://www.sdey.net/html/2026/kydt_0511/31276.html</x:v>
      </x:c>
      <x:c r="K182" s="30" t="str">
        <x:v>M065</x:v>
      </x:c>
    </x:row>
    <x:row r="183" ht="36" customHeight="1">
      <x:c r="A183" s="30" t="str">
        <x:v>历史储备</x:v>
      </x:c>
      <x:c r="B183" s="30" t="str">
        <x:v>低</x:v>
      </x:c>
      <x:c r="C183" s="30" t="str">
        <x:v>已截止·历史储备</x:v>
      </x:c>
      <x:c r="D183" s="30" t="str">
        <x:v>中国科学院工业人工智能研究所 — 江苏省工业人工智能重点实验室</x:v>
      </x:c>
      <x:c r="E183" s="30" t="str">
        <x:v>2026-05-31</x:v>
      </x:c>
      <x:c r="F183" s="30" t="str">
        <x:v>具身智能；世界模型；柔顺操作；人机协同</x:v>
      </x:c>
      <x:c r="G183" s="30" t="str">
        <x:v>未记录／待核</x:v>
      </x:c>
      <x:c r="H183" s="30" t="str">
        <x:v>依托所在地、项目链接类型待复核</x:v>
      </x:c>
      <x:c r="I183" s="30" t="str">
        <x:v>关注下一年度开放指南</x:v>
      </x:c>
      <x:c r="J183" s="30" t="str">
        <x:v>https://iaii.cas.cn/hzjl/kjhz/202607/t20260715_8248969.html</x:v>
      </x:c>
      <x:c r="K183" s="30" t="str">
        <x:v>M073</x:v>
      </x:c>
    </x:row>
    <x:row r="184" ht="36" customHeight="1">
      <x:c r="A184" s="30" t="str">
        <x:v>历史储备</x:v>
      </x:c>
      <x:c r="B184" s="30" t="str">
        <x:v>低</x:v>
      </x:c>
      <x:c r="C184" s="30" t="str">
        <x:v>已截止·历史储备</x:v>
      </x:c>
      <x:c r="D184" s="30" t="str">
        <x:v>吉林大学 — 地球信息探测仪器教育部重点实验室</x:v>
      </x:c>
      <x:c r="E184" s="30" t="str">
        <x:v>2026-07-12</x:v>
      </x:c>
      <x:c r="F184" s="30" t="str">
        <x:v>多传感融合；智能检测；无人系统控制</x:v>
      </x:c>
      <x:c r="G184" s="30" t="str">
        <x:v>未记录／待核</x:v>
      </x:c>
      <x:c r="H184" s="30" t="str">
        <x:v>地球探测场景</x:v>
      </x:c>
      <x:c r="I184" s="30" t="str">
        <x:v>关注下一年度开放指南</x:v>
      </x:c>
      <x:c r="J184" s="30" t="str">
        <x:v>https://olagi.jlu.edu.cn/info/1046/1750.htm</x:v>
      </x:c>
      <x:c r="K184" s="30" t="str">
        <x:v>M039</x:v>
      </x:c>
    </x:row>
    <x:row r="185" ht="36" customHeight="1">
      <x:c r="A185" s="30" t="str">
        <x:v>历史储备</x:v>
      </x:c>
      <x:c r="B185" s="30" t="str">
        <x:v>低</x:v>
      </x:c>
      <x:c r="C185" s="30" t="str">
        <x:v>已截止·历史储备</x:v>
      </x:c>
      <x:c r="D185" s="30" t="str">
        <x:v>河北地质大学 — 河北省地质环境智能感知与数据处理重点实验室</x:v>
      </x:c>
      <x:c r="E185" s="30" t="str">
        <x:v>2026-07-24</x:v>
      </x:c>
      <x:c r="F185" s="30" t="str">
        <x:v>多模态融合；三维几何建模；智能数据处理</x:v>
      </x:c>
      <x:c r="G185" s="30" t="str">
        <x:v>未记录／待核</x:v>
      </x:c>
      <x:c r="H185" s="30" t="str">
        <x:v>地质场景约束</x:v>
      </x:c>
      <x:c r="I185" s="30" t="str">
        <x:v>关注下一年度开放指南</x:v>
      </x:c>
      <x:c r="J185" s="30" t="str">
        <x:v>https://www.hgu.edu.cn/info/1050/11863.htm</x:v>
      </x:c>
      <x:c r="K185" s="30" t="str">
        <x:v>M079</x:v>
      </x:c>
    </x:row>
    <x:row r="186" ht="36" customHeight="1">
      <x:c r="A186" s="30" t="str">
        <x:v>历史储备</x:v>
      </x:c>
      <x:c r="B186" s="30" t="str">
        <x:v>低</x:v>
      </x:c>
      <x:c r="C186" s="30" t="str">
        <x:v>已截止·历史储备</x:v>
      </x:c>
      <x:c r="D186" s="30" t="str">
        <x:v>潍柴动力等 — 内燃机与动力系统全国重点实验室</x:v>
      </x:c>
      <x:c r="E186" s="30" t="str">
        <x:v>2026-07-25</x:v>
      </x:c>
      <x:c r="F186" s="30" t="str">
        <x:v>系统感知；智能模拟；协同控制；机电耦合动态建模</x:v>
      </x:c>
      <x:c r="G186" s="30" t="str">
        <x:v>未记录／待核</x:v>
      </x:c>
      <x:c r="H186" s="30" t="str">
        <x:v>工业动力系统场景；要求博士/副高，不接受多家院校联合申报</x:v>
      </x:c>
      <x:c r="I186" s="30" t="str">
        <x:v>关注下一年度开放指南</x:v>
      </x:c>
      <x:c r="J186" s="30" t="str">
        <x:v>https://www.skler.cn/home/focus/202606/t20260611_125037.html</x:v>
      </x:c>
      <x:c r="K186" s="30" t="str">
        <x:v>M019</x:v>
      </x:c>
    </x:row>
    <x:row r="187" ht="36" customHeight="1">
      <x:c r="A187" s="30" t="str">
        <x:v>历史储备</x:v>
      </x:c>
      <x:c r="B187" s="30" t="str">
        <x:v>低</x:v>
      </x:c>
      <x:c r="C187" s="30" t="str">
        <x:v>已截止·历史储备</x:v>
      </x:c>
      <x:c r="D187" s="30" t="str">
        <x:v>江苏·中国农业科学院南京农业机械化研究所 — 农业农村部现代农业装备重点实验室</x:v>
      </x:c>
      <x:c r="E187" s="30" t="str">
        <x:v>2026-07-26</x:v>
      </x:c>
      <x:c r="F187" s="30" t="str">
        <x:v>方向/边界：智能农机多源定位、动态环境自主导航、多执行机构协同控制、多模态融合、机器人自主作业；必须以农业装备为对象</x:v>
      </x:c>
      <x:c r="G187" s="30" t="str">
        <x:v>10万元、2年</x:v>
      </x:c>
      <x:c r="H187" s="30" t="str">
        <x:v>资助/资格/证据：对外开放，约10项、每项不超过10万元、2年；博士/中级及以上职称</x:v>
      </x:c>
      <x:c r="I187" s="30" t="str">
        <x:v>关注下一年度开放指南</x:v>
      </x:c>
      <x:c r="J187" s="30" t="str">
        <x:v>https://nnj.caas.cn/xwdt/tzygg/9257acffb31c42e19dbb82b2c7671e98.htm</x:v>
      </x:c>
      <x:c r="K187" s="30" t="str">
        <x:v>M137</x:v>
      </x:c>
    </x:row>
    <x:row r="188" ht="36" customHeight="1">
      <x:c r="A188" s="30" t="str">
        <x:v>历史储备</x:v>
      </x:c>
      <x:c r="B188" s="30" t="str">
        <x:v>低</x:v>
      </x:c>
      <x:c r="C188" s="30" t="str">
        <x:v>已截止·历史储备</x:v>
      </x:c>
      <x:c r="D188" s="30" t="str">
        <x:v>中国科学院自动化研究所 — 复杂系统认知与决策国家级重点实验室</x:v>
      </x:c>
      <x:c r="E188" s="30" t="str">
        <x:v>2026-07-31</x:v>
      </x:c>
      <x:c r="F188" s="30" t="str">
        <x:v>复杂系统决策与控制（本轮指南偏无人机监视反制）</x:v>
      </x:c>
      <x:c r="G188" s="30" t="str">
        <x:v>未记录／待核</x:v>
      </x:c>
      <x:c r="H188" s="30" t="str">
        <x:v>当轮应用方向不适合超声机器人，历史方向跟踪</x:v>
      </x:c>
      <x:c r="I188" s="30" t="str">
        <x:v>关注下一年度开放指南</x:v>
      </x:c>
      <x:c r="J188" s="30" t="str">
        <x:v>https://ia.cas.cn/qtgn/tzgg/202607/t20260721_8252870.html</x:v>
      </x:c>
      <x:c r="K188" s="30" t="str">
        <x:v>M008</x:v>
      </x:c>
    </x:row>
    <x:row r="189" ht="36" customHeight="1">
      <x:c r="A189" s="30" t="str">
        <x:v>历史储备</x:v>
      </x:c>
      <x:c r="B189" s="30" t="str">
        <x:v>低</x:v>
      </x:c>
      <x:c r="C189" s="30" t="str">
        <x:v>已截止·历史储备</x:v>
      </x:c>
      <x:c r="D189" s="30" t="str">
        <x:v>南京医科大学 — 生殖医学与子代健康全国重点实验室</x:v>
      </x:c>
      <x:c r="E189" s="30" t="str">
        <x:v>2026-08-14</x:v>
      </x:c>
      <x:c r="F189" s="30" t="str">
        <x:v>医学图像、智能诊疗等可能的方法交集；核心生殖医学研究主题限定</x:v>
      </x:c>
      <x:c r="G189" s="30" t="str">
        <x:v>未记录／待核</x:v>
      </x:c>
      <x:c r="H189" s="30" t="str">
        <x:v>经费/申报资格/限制：医学研究领域限定，申请书不宜直接照搬</x:v>
      </x:c>
      <x:c r="I189" s="30" t="str">
        <x:v>关注下一年度开放指南</x:v>
      </x:c>
      <x:c r="J189" s="30" t="str">
        <x:v>https://sklrm.njmu.edu.cn/2026/0714/c1970a304596/pagem.htm</x:v>
      </x:c>
      <x:c r="K189" s="30" t="str">
        <x:v>M171</x:v>
      </x:c>
    </x:row>
    <x:row r="190" ht="36" customHeight="1">
      <x:c r="A190" s="30" t="str">
        <x:v>历史储备</x:v>
      </x:c>
      <x:c r="B190" s="30" t="str">
        <x:v>低</x:v>
      </x:c>
      <x:c r="C190" s="30" t="str">
        <x:v>已截止·历史储备</x:v>
      </x:c>
      <x:c r="D190" s="30" t="str">
        <x:v>青海理工学院 — 青海省大数据金融与人工智能应用技术重点实验室</x:v>
      </x:c>
      <x:c r="E190" s="30" t="str">
        <x:v>2026-08-20</x:v>
      </x:c>
      <x:c r="F190" s="30" t="str">
        <x:v>人工智能及应用；需核具体研究指南</x:v>
      </x:c>
      <x:c r="G190" s="30" t="str">
        <x:v>未记录／待核</x:v>
      </x:c>
      <x:c r="H190" s="30" t="str">
        <x:v>申请资格/合作条件待核</x:v>
      </x:c>
      <x:c r="I190" s="30" t="str">
        <x:v>关注下一年度开放指南</x:v>
      </x:c>
      <x:c r="J190" s="30" t="str">
        <x:v>https://sxy.qhit.edu.cn/info/1060/3767.htm</x:v>
      </x:c>
      <x:c r="K190" s="30" t="str">
        <x:v>M128</x:v>
      </x:c>
    </x:row>
    <x:row r="191" ht="36" customHeight="1">
      <x:c r="A191" s="30" t="str">
        <x:v>历史储备</x:v>
      </x:c>
      <x:c r="B191" s="30" t="str">
        <x:v>低</x:v>
      </x:c>
      <x:c r="C191" s="30" t="str">
        <x:v>已截止·历史储备</x:v>
      </x:c>
      <x:c r="D191" s="30" t="str">
        <x:v>上海科技大学 — 先进医用材料与医疗器械全国重点实验室（一般开放）</x:v>
      </x:c>
      <x:c r="E191" s="30" t="str">
        <x:v>2026-08-21</x:v>
      </x:c>
      <x:c r="F191" s="30" t="str">
        <x:v>高端医疗装备；人机交互；医用材料和器械</x:v>
      </x:c>
      <x:c r="G191" s="30" t="str">
        <x:v>5万元</x:v>
      </x:c>
      <x:c r="H191" s="30" t="str">
        <x:v>成果共同署名；一般开放课题5万元</x:v>
      </x:c>
      <x:c r="I191" s="30" t="str">
        <x:v>关注下一年度开放指南</x:v>
      </x:c>
      <x:c r="J191" s="30" t="str">
        <x:v>https://www.shanghaitech.edu.cn/2026/0724/c1482a1125781/page.htm</x:v>
      </x:c>
      <x:c r="K191" s="30" t="str">
        <x:v>M002</x:v>
      </x:c>
    </x:row>
    <x:row r="192" ht="36" customHeight="1">
      <x:c r="A192" s="30" t="str">
        <x:v>历史储备</x:v>
      </x:c>
      <x:c r="B192" s="30" t="str">
        <x:v>低</x:v>
      </x:c>
      <x:c r="C192" s="30" t="str">
        <x:v>已截止·历史储备</x:v>
      </x:c>
      <x:c r="D192" s="30" t="str">
        <x:v>北京大学 — 跨媒体通用人工智能全国重点实验室</x:v>
      </x:c>
      <x:c r="E192" s="30" t="str">
        <x:v>2026-08-28</x:v>
      </x:c>
      <x:c r="F192" s="30" t="str">
        <x:v>多点接触规划；具身操作动作生成；精细操作技能学习；在线决策</x:v>
      </x:c>
      <x:c r="G192" s="30" t="str">
        <x:v>20万元</x:v>
      </x:c>
      <x:c r="H192" s="30" t="str">
        <x:v>指南课题题目固定；资助上限20万元</x:v>
      </x:c>
      <x:c r="I192" s="30" t="str">
        <x:v>关注下一年度开放指南</x:v>
      </x:c>
      <x:c r="J192" s="30" t="str">
        <x:v>https://sist.pku.edu.cn/info/2320/10785.htm</x:v>
      </x:c>
      <x:c r="K192" s="30" t="str">
        <x:v>M014</x:v>
      </x:c>
    </x:row>
    <x:row r="193" ht="36" customHeight="1">
      <x:c r="A193" s="30" t="str">
        <x:v>历史储备</x:v>
      </x:c>
      <x:c r="B193" s="30" t="str">
        <x:v>低</x:v>
      </x:c>
      <x:c r="C193" s="30" t="str">
        <x:v>已截止·历史储备</x:v>
      </x:c>
      <x:c r="D193" s="30" t="str">
        <x:v>同济大学 — 工程结构性能演化与控制教育部重点实验室</x:v>
      </x:c>
      <x:c r="E193" s="30" t="str">
        <x:v>2026-08-31</x:v>
      </x:c>
      <x:c r="F193" s="30" t="str">
        <x:v>非线性动力学、系统建模与控制；土木工程应用限定</x:v>
      </x:c>
      <x:c r="G193" s="30" t="str">
        <x:v>未记录／待核</x:v>
      </x:c>
      <x:c r="H193" s="30" t="str">
        <x:v>申请资格/合作条件待核</x:v>
      </x:c>
      <x:c r="I193" s="30" t="str">
        <x:v>关注下一年度开放指南</x:v>
      </x:c>
      <x:c r="J193" s="30" t="str">
        <x:v>https://peces.tongji.edu.cn/tzgg/148</x:v>
      </x:c>
      <x:c r="K193" s="30" t="str">
        <x:v>M110</x:v>
      </x:c>
    </x:row>
    <x:row r="194" ht="36" customHeight="1">
      <x:c r="A194" s="30" t="str">
        <x:v>历史储备</x:v>
      </x:c>
      <x:c r="B194" s="30" t="str">
        <x:v>低</x:v>
      </x:c>
      <x:c r="C194" s="30" t="str">
        <x:v>已截止·历史储备</x:v>
      </x:c>
      <x:c r="D194" s="30" t="str">
        <x:v>清华大学 — 新型电力系统运行与控制全国重点实验室</x:v>
      </x:c>
      <x:c r="E194" s="30" t="str">
        <x:v>2026-08-31</x:v>
      </x:c>
      <x:c r="F194" s="30" t="str">
        <x:v>复杂系统运行与控制、电力装备；控制方法相关但电力系统领域限定</x:v>
      </x:c>
      <x:c r="G194" s="30" t="str">
        <x:v>12万、面上至少5万</x:v>
      </x:c>
      <x:c r="H194" s="30" t="str">
        <x:v>清华以外在岗博士；重点至少12万、面上至少5万</x:v>
      </x:c>
      <x:c r="I194" s="30" t="str">
        <x:v>关注下一年度开放指南</x:v>
      </x:c>
      <x:c r="J194" s="30" t="str">
        <x:v>https://epowerlab.tsinghua.edu.cn/info/1179/1506.htm</x:v>
      </x:c>
      <x:c r="K194" s="30" t="str">
        <x:v>M154</x:v>
      </x:c>
    </x:row>
    <x:row r="195" ht="36" customHeight="1">
      <x:c r="A195" s="30" t="str">
        <x:v>历史储备</x:v>
      </x:c>
      <x:c r="B195" s="30" t="str">
        <x:v>低</x:v>
      </x:c>
      <x:c r="C195" s="30" t="str">
        <x:v>已截止·历史储备</x:v>
      </x:c>
      <x:c r="D195" s="30" t="str">
        <x:v>南京信息工程大学 — 水利部水文气象灾害机理与预警重点实验室</x:v>
      </x:c>
      <x:c r="E195" s="30" t="str">
        <x:v>2026-08-31</x:v>
      </x:c>
      <x:c r="F195" s="30" t="str">
        <x:v>非线性预测、数据驱动系统、环境感知；水文气象限定</x:v>
      </x:c>
      <x:c r="G195" s="30" t="str">
        <x:v>2万元</x:v>
      </x:c>
      <x:c r="H195" s="30" t="str">
        <x:v>经费/申报资格/限制：约2万元，领域不直接适合超声机器人</x:v>
      </x:c>
      <x:c r="I195" s="30" t="str">
        <x:v>关注下一年度开放指南</x:v>
      </x:c>
      <x:c r="J195" s="30" t="str">
        <x:v>https://hymed.nuist.edu.cn/2026/0809/c8032a300578/page.htm</x:v>
      </x:c>
      <x:c r="K195" s="30" t="str">
        <x:v>M172</x:v>
      </x:c>
    </x:row>
    <x:row r="196" ht="36" customHeight="1">
      <x:c r="A196" s="30" t="str">
        <x:v>历史储备</x:v>
      </x:c>
      <x:c r="B196" s="30" t="str">
        <x:v>低</x:v>
      </x:c>
      <x:c r="C196" s="30" t="str">
        <x:v>已截止·历史储备</x:v>
      </x:c>
      <x:c r="D196" s="30" t="str">
        <x:v>中国标准化研究院 — 人因与工效学重点实验室等多平台联合（2026）</x:v>
      </x:c>
      <x:c r="E196" s="30" t="str">
        <x:v>2026-09-24</x:v>
      </x:c>
      <x:c r="F196" s="30" t="str">
        <x:v>匹配研究方向：人机几何适配、人体皮肤软组织接触压力模型、智能自动化实验系统；部分科学技术交集</x:v>
      </x:c>
      <x:c r="G196" s="30" t="str">
        <x:v>一般不超过10万、重点不超过15万（历史记录）</x:v>
      </x:c>
      <x:c r="H196" s="30" t="str">
        <x:v>申请资格/合作条件待核</x:v>
      </x:c>
      <x:c r="I196" s="30" t="str">
        <x:v>关注下一年度开放指南</x:v>
      </x:c>
      <x:c r="J196" s="30" t="str">
        <x:v>https://www.cnis.ac.cn/tzgg/202609/t20260904_63600.html</x:v>
      </x:c>
      <x:c r="K196" s="30" t="str">
        <x:v>M148</x:v>
      </x:c>
    </x:row>
    <x:row r="197" ht="36" customHeight="1">
      <x:c r="A197" s="30" t="str">
        <x:v>历史储备</x:v>
      </x:c>
      <x:c r="B197" s="30" t="str">
        <x:v>低</x:v>
      </x:c>
      <x:c r="C197" s="30" t="str">
        <x:v>已截止·历史储备</x:v>
      </x:c>
      <x:c r="D197" s="30" t="str">
        <x:v>海南大学 — 数字医学工程全国重点实验室</x:v>
      </x:c>
      <x:c r="E197" s="30" t="str">
        <x:v>2026-09-30</x:v>
      </x:c>
      <x:c r="F197" s="30" t="str">
        <x:v>数字人体；生物医学建模；医学数据融合；智能诊疗</x:v>
      </x:c>
      <x:c r="G197" s="30" t="str">
        <x:v>未记录／待核</x:v>
      </x:c>
      <x:c r="H197" s="30" t="str">
        <x:v>高级职称；合作要求、经费管理特殊</x:v>
      </x:c>
      <x:c r="I197" s="30" t="str">
        <x:v>关注下一年度开放指南</x:v>
      </x:c>
      <x:c r="J197" s="30" t="str">
        <x:v>https://bme.hainanu.edu.cn/info/1051/11911.htm</x:v>
      </x:c>
      <x:c r="K197" s="30" t="str">
        <x:v>M027</x:v>
      </x:c>
    </x:row>
    <x:row r="198" ht="36" customHeight="1">
      <x:c r="A198" s="30" t="str">
        <x:v>历史储备</x:v>
      </x:c>
      <x:c r="B198" s="30" t="str">
        <x:v>低</x:v>
      </x:c>
      <x:c r="C198" s="30" t="str">
        <x:v>已截止·历史储备</x:v>
      </x:c>
      <x:c r="D198" s="30" t="str">
        <x:v>北京·先进越野系统技术全国重点实验室 — 2026年度对外开放基金</x:v>
      </x:c>
      <x:c r="E198" s="30" t="str">
        <x:v>2026-09-30</x:v>
      </x:c>
      <x:c r="F198" s="30" t="str">
        <x:v>方向/边界：世界模型、自主感知、具身作业稳定性；越野平台与目标作业强绑定</x:v>
      </x:c>
      <x:c r="G198" s="30" t="str">
        <x:v>5—10万元、重点20—30万元</x:v>
      </x:c>
      <x:c r="H198" s="30" t="str">
        <x:v>资助/资格/证据：一般5—10万元、重点20—30万元；博士或高级职称</x:v>
      </x:c>
      <x:c r="I198" s="30" t="str">
        <x:v>关注下一年度开放指南</x:v>
      </x:c>
      <x:c r="J198" s="30" t="str">
        <x:v>https://keyanchu.syuct.edu.cn/info/1028/2240.htm</x:v>
      </x:c>
      <x:c r="K198" s="30" t="str">
        <x:v>M131</x:v>
      </x:c>
    </x:row>
    <x:row r="199" ht="36" customHeight="1">
      <x:c r="A199" s="30" t="str">
        <x:v>历史储备</x:v>
      </x:c>
      <x:c r="B199" s="30" t="str">
        <x:v>低</x:v>
      </x:c>
      <x:c r="C199" s="30" t="str">
        <x:v>已截止·历史储备</x:v>
      </x:c>
      <x:c r="D199" s="30" t="str">
        <x:v>南方科技大学 — 量子功能材料全国重点实验室</x:v>
      </x:c>
      <x:c r="E199" s="30" t="str">
        <x:v>2026-09-30</x:v>
      </x:c>
      <x:c r="F199" s="30" t="str">
        <x:v>材料和智能表征，主要为量子材料研究；直接匹配很低</x:v>
      </x:c>
      <x:c r="G199" s="30" t="str">
        <x:v>5-10万元</x:v>
      </x:c>
      <x:c r="H199" s="30" t="str">
        <x:v>经费/申报资格/限制：约5-10万元，材料主题限定</x:v>
      </x:c>
      <x:c r="I199" s="30" t="str">
        <x:v>关注下一年度开放指南</x:v>
      </x:c>
      <x:c r="J199" s="30" t="str">
        <x:v>https://sklqfm.sustech.edu.cn/projects/1281.html</x:v>
      </x:c>
      <x:c r="K199" s="30" t="str">
        <x:v>M177</x:v>
      </x:c>
    </x:row>
    <x:row r="200" ht="36" customHeight="1">
      <x:c r="A200" s="30" t="str">
        <x:v>历史储备</x:v>
      </x:c>
      <x:c r="B200" s="30" t="str">
        <x:v>低</x:v>
      </x:c>
      <x:c r="C200" s="30" t="str">
        <x:v>已截止·历史储备</x:v>
      </x:c>
      <x:c r="D200" s="30" t="str">
        <x:v>安徽理工大学 — 煤炭无人化开采数智技术全国重点实验室</x:v>
      </x:c>
      <x:c r="E200" s="30" t="str">
        <x:v>2026-10-05</x:v>
      </x:c>
      <x:c r="F200" s="30" t="str">
        <x:v>矿用机器人自适应控制；无人开采装备/矿区智能感知</x:v>
      </x:c>
      <x:c r="G200" s="30" t="str">
        <x:v>一般15–20万元；重点60–100万元</x:v>
      </x:c>
      <x:c r="H200" s="30" t="str">
        <x:v>矿山应用限定；高论文/专利与校内署名负担</x:v>
      </x:c>
      <x:c r="I200" s="30" t="str">
        <x:v>关注下一年度开放指南</x:v>
      </x:c>
      <x:c r="J200" s="30" t="str">
        <x:v>https://cdsys.aust.edu.cn/info/1021/2502.htm</x:v>
      </x:c>
      <x:c r="K200" s="30" t="str">
        <x:v>M018</x:v>
      </x:c>
    </x:row>
    <x:row r="201" ht="36" customHeight="1">
      <x:c r="A201" s="30" t="str">
        <x:v>不可外部申报</x:v>
      </x:c>
      <x:c r="B201" s="30" t="str">
        <x:v>低</x:v>
      </x:c>
      <x:c r="C201" s="30" t="str">
        <x:v>外部不能申报</x:v>
      </x:c>
      <x:c r="D201" s="30" t="str">
        <x:v>北京·清华大学—美团 — 2026具身智能科研专项（校内人员限定，非外部开放基金）</x:v>
      </x:c>
      <x:c r="E201" s="30" t="str">
        <x:v>2026-10-18</x:v>
      </x:c>
      <x:c r="F201" s="30" t="str">
        <x:v>方向/边界：具身智能Agent、VLA与世界模型、无人机自主任务；不是医疗机器人开放课题</x:v>
      </x:c>
      <x:c r="G201" s="30" t="str">
        <x:v>30万元/6—12个月</x:v>
      </x:c>
      <x:c r="H201" s="30" t="str">
        <x:v>资助/资格/证据：每项约30万元/6—12个月；只对清华大学全职教师和研究人员开放。该公告中的LongCat Token计划虽向全国高校开放，但属于算力/Token资源，不是现金科研开放基金</x:v>
      </x:c>
      <x:c r="I201" s="30" t="str">
        <x:v>查资格/联系实验室合作者</x:v>
      </x:c>
      <x:c r="J201" s="30" t="str">
        <x:v>https://www.ee.tsinghua.edu.cn/info/1076/5399.htm</x:v>
      </x:c>
      <x:c r="K201" s="30" t="str">
        <x:v>M138</x:v>
      </x:c>
    </x:row>
    <x:row r="202" ht="36" customHeight="1">
      <x:c r="A202" s="30" t="str">
        <x:v>其他资金</x:v>
      </x:c>
      <x:c r="B202" s="30" t="str">
        <x:v>高</x:v>
      </x:c>
      <x:c r="C202" s="30" t="str">
        <x:v>旁支资助·另行确认</x:v>
      </x:c>
      <x:c r="D202" s="30" t="str">
        <x:v>2026中国高校产学研创新基金迈瑞专项</x:v>
      </x:c>
      <x:c r="E202" s="30" t="str">
        <x:v>2026-11-06</x:v>
      </x:c>
      <x:c r="F202" s="30" t="str">
        <x:v>医工/超声，需仔细核附件资格、IP</x:v>
      </x:c>
      <x:c r="G202" s="30" t="str">
        <x:v>≥10万元总支持；其中科研经费≥50%</x:v>
      </x:c>
      <x:c r="H202" s="30" t="str">
        <x:v>专项系统和依托单位资格待核</x:v>
      </x:c>
      <x:c r="I202" s="30" t="str">
        <x:v>按非开放基金专项资格另行核实</x:v>
      </x:c>
      <x:c r="J202" s="30" t="str">
        <x:v>https://www.cutech.edu.cn/detail/46-839</x:v>
      </x:c>
      <x:c r="K202" s="30" t="str">
        <x:v>F001</x:v>
      </x:c>
    </x:row>
    <x:row r="203" ht="36" customHeight="1">
      <x:c r="A203" s="30" t="str">
        <x:v>其他资金</x:v>
      </x:c>
      <x:c r="B203" s="30" t="str">
        <x:v>中</x:v>
      </x:c>
      <x:c r="C203" s="30" t="str">
        <x:v>旁支资助·另行确认</x:v>
      </x:c>
      <x:c r="D203" s="30" t="str">
        <x:v>2026中国高校产学研创新基金智能算力与先进测控专项</x:v>
      </x:c>
      <x:c r="E203" s="30" t="str">
        <x:v>2027-01-15</x:v>
      </x:c>
      <x:c r="F203" s="30" t="str">
        <x:v>先进测控/具身，需核公告附件资格、软硬件与经费构成</x:v>
      </x:c>
      <x:c r="G203" s="30" t="str">
        <x:v>一般：总支持10–50万（科研经费5–25万）；重点：总支持50–200万（科研经费25–100万）</x:v>
      </x:c>
      <x:c r="H203" s="30" t="str">
        <x:v>专项系统和依托单位资格待核</x:v>
      </x:c>
      <x:c r="I203" s="30" t="str">
        <x:v>按非开放基金专项资格另行核实</x:v>
      </x:c>
      <x:c r="J203" s="30" t="str">
        <x:v>https://www.cutech.edu.cn/detail/46-838</x:v>
      </x:c>
      <x:c r="K203" s="30" t="str">
        <x:v>F002</x:v>
      </x:c>
    </x:row>
    <x:row r="204" ht="36" customHeight="1">
      <x:c r="A204" s="30" t="str">
        <x:v>其他资金</x:v>
      </x:c>
      <x:c r="B204" s="30" t="str">
        <x:v>低</x:v>
      </x:c>
      <x:c r="C204" s="30" t="str">
        <x:v>旁支资助·另行确认</x:v>
      </x:c>
      <x:c r="D204" s="30" t="str">
        <x:v>NSFC空间智能与世界模型专项</x:v>
      </x:c>
      <x:c r="E204" s="30" t="str">
        <x:v>2026-10-18</x:v>
      </x:c>
      <x:c r="F204" s="30" t="str">
        <x:v>NSFC正式系统登录指南与限制需另行确认</x:v>
      </x:c>
      <x:c r="G204" s="30" t="str">
        <x:v>金额/软硬件构成见专项附件</x:v>
      </x:c>
      <x:c r="H204" s="30" t="str">
        <x:v>专项系统和依托单位资格待核</x:v>
      </x:c>
      <x:c r="I204" s="30" t="str">
        <x:v>按非开放基金专项资格另行核实</x:v>
      </x:c>
      <x:c r="J204" s="30" t="str">
        <x:v>https://www.nsfc.gov.cn/p1/3381/2824/142425.html</x:v>
      </x:c>
      <x:c r="K204" s="30" t="str">
        <x:v>F004</x:v>
      </x:c>
    </x:row>
    <x:row r="205" ht="36" customHeight="1">
      <x:c r="A205" s="30" t="str">
        <x:v>其他资金</x:v>
      </x:c>
      <x:c r="B205" s="30" t="str">
        <x:v>低</x:v>
      </x:c>
      <x:c r="C205" s="30" t="str">
        <x:v>旁支资助·另行确认</x:v>
      </x:c>
      <x:c r="D205" s="30" t="str">
        <x:v>NSFC深圳机器人联合基金重大专项</x:v>
      </x:c>
      <x:c r="E205" s="30" t="str">
        <x:v>2026-10-29</x:v>
      </x:c>
      <x:c r="F205" s="30" t="str">
        <x:v>NSFC系统资格、研究内容/地区合作限制需另行确认</x:v>
      </x:c>
      <x:c r="G205" s="30" t="str">
        <x:v>金额/软硬件构成见专项附件</x:v>
      </x:c>
      <x:c r="H205" s="30" t="str">
        <x:v>专项系统和依托单位资格待核</x:v>
      </x:c>
      <x:c r="I205" s="30" t="str">
        <x:v>按非开放基金专项资格另行核实</x:v>
      </x:c>
      <x:c r="J205" s="30" t="str">
        <x:v>https://www.nsfc.gov.cn/p1/3381/2824/143111.html</x:v>
      </x:c>
      <x:c r="K205" s="30" t="str">
        <x:v>F003</x:v>
      </x:c>
    </x:row>
  </x:sheetData>
  <x:mergeCells>
    <x:mergeCell ref="A1:K1"/>
    <x:mergeCell ref="A2:K2"/>
  </x:mergeCells>
  <x:conditionalFormatting sqref="B7:B205">
    <x:cfRule type="expression" dxfId="0" priority="1">
      <x:formula>$B7="高"</x:formula>
    </x:cfRule>
  </x:conditionalFormatting>
  <x:conditionalFormatting sqref="C7:C205">
    <x:cfRule type="expression" dxfId="1" priority="2">
      <x:formula>LEFT($C7,4)="已截止"</x:formula>
    </x:cfRule>
    <x:cfRule type="expression" dxfId="2" priority="3">
      <x:formula>LEFT($C7,2)="日期"</x:formula>
    </x:cfRule>
    <x:cfRule type="expression" dxfId="3" priority="4">
      <x:formula>LEFT($C7,2)="临界"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f7e619d14e4a6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2" hidden="0" customWidth="1"/>
    <x:col min="4" max="4" width="43" hidden="0" customWidth="1"/>
    <x:col min="5" max="5" width="15" hidden="0" customWidth="1"/>
    <x:col min="6" max="6" width="22" hidden="0" customWidth="1"/>
    <x:col min="7" max="7" width="11" hidden="0" customWidth="1"/>
    <x:col min="8" max="8" width="49" hidden="0" customWidth="1"/>
    <x:col min="9" max="9" width="43" hidden="0" customWidth="1"/>
    <x:col min="10" max="10" width="28" hidden="0" customWidth="1"/>
    <x:col min="11" max="11" width="48" hidden="0" customWidth="1"/>
    <x:col min="12" max="12" width="43" hidden="0" customWidth="1"/>
    <x:col min="13" max="13" width="28" hidden="0" customWidth="1"/>
    <x:col min="14" max="14" width="21" hidden="0" customWidth="1"/>
    <x:col min="15" max="15" width="53" hidden="0" customWidth="1"/>
    <x:col min="16" max="16" width="53" hidden="0" customWidth="1"/>
    <x:col min="17" max="17" width="45" hidden="0" customWidth="1"/>
    <x:col min="18" max="18" width="42" hidden="0" customWidth="1"/>
    <x:col min="19" max="19" width="38" hidden="0" customWidth="1"/>
    <x:col min="20" max="20" width="29" hidden="0" customWidth="1"/>
    <x:col min="21" max="21" width="34" hidden="0" customWidth="1"/>
    <x:col min="22" max="22" width="34" hidden="0" customWidth="1"/>
    <x:col min="23" max="23" width="43" hidden="0" customWidth="1"/>
    <x:col min="24" max="24" width="22" hidden="0" customWidth="1"/>
    <x:col min="25" max="25" width="27" hidden="0" customWidth="1"/>
    <x:col min="26" max="26" width="35" hidden="0" customWidth="1"/>
  </x:cols>
  <x:sheetData>
    <x:row r="1" ht="36" customHeight="1">
      <x:c r="A1" s="4" t="str">
        <x:v>全国开放课题｜完整条件与原始证据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0" customHeight="1">
      <x:c r="A2" s="11" t="str">
        <x:v>未核信息直接标‘待核’，不据此判定符合个人申报资格。已官网核正文不代表已读全套申请指南、压缩附件或管理办法。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 ht="26" customHeight="1">
      <x:c r="A3" s="18" t="str">
        <x:v>档案记录总行数</x:v>
      </x:c>
      <x:c r="B3" s="18" t="n">
        <x:f>COUNTA(A7:A205)</x:f>
        <x:v>199</x:v>
      </x:c>
      <x:c r="C3" s="18" t="str">
        <x:v>（含2条并行增量与4条非开放基金专项）</x:v>
      </x:c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6" ht="31" customHeight="1">
      <x:c r="A6" s="25" t="str">
        <x:v>项目编号</x:v>
      </x:c>
      <x:c r="B6" s="25" t="str">
        <x:v>项目类别</x:v>
      </x:c>
      <x:c r="C6" s="25" t="str">
        <x:v>依托机构</x:v>
      </x:c>
      <x:c r="D6" s="25" t="str">
        <x:v>实验室/项目名称</x:v>
      </x:c>
      <x:c r="E6" s="25" t="str">
        <x:v>官方截止日期</x:v>
      </x:c>
      <x:c r="F6" s="25" t="str">
        <x:v>受理分类</x:v>
      </x:c>
      <x:c r="G6" s="25" t="str">
        <x:v>匹配优先级</x:v>
      </x:c>
      <x:c r="H6" s="25" t="str">
        <x:v>研究方向及可复用部分</x:v>
      </x:c>
      <x:c r="I6" s="25" t="str">
        <x:v>匹配判断与应用场景限制</x:v>
      </x:c>
      <x:c r="J6" s="25" t="str">
        <x:v>资助金额/类型</x:v>
      </x:c>
      <x:c r="K6" s="25" t="str">
        <x:v>申请人条件</x:v>
      </x:c>
      <x:c r="L6" s="25" t="str">
        <x:v>合作/固定人员要求</x:v>
      </x:c>
      <x:c r="M6" s="25" t="str">
        <x:v>经费是否外拨</x:v>
      </x:c>
      <x:c r="N6" s="25" t="str">
        <x:v>研究周期</x:v>
      </x:c>
      <x:c r="O6" s="25" t="str">
        <x:v>结题/成果署名要求</x:v>
      </x:c>
      <x:c r="P6" s="25" t="str">
        <x:v>申报材料及方式</x:v>
      </x:c>
      <x:c r="Q6" s="25" t="str">
        <x:v>官方公告URL</x:v>
      </x:c>
      <x:c r="R6" s="25" t="str">
        <x:v>附件/第二官网URL</x:v>
      </x:c>
      <x:c r="S6" s="25" t="str">
        <x:v>公告核查程度</x:v>
      </x:c>
      <x:c r="T6" s="25" t="str">
        <x:v>附件核查程度</x:v>
      </x:c>
      <x:c r="U6" s="25" t="str">
        <x:v>资料检索基准</x:v>
      </x:c>
      <x:c r="V6" s="25" t="str">
        <x:v>下一步待核或行动</x:v>
      </x:c>
      <x:c r="W6" s="25" t="str">
        <x:v>历史来源资格摘要</x:v>
      </x:c>
      <x:c r="X6" s="25" t="str">
        <x:v>来源分支</x:v>
      </x:c>
      <x:c r="Y6" s="25" t="str">
        <x:v>旧编号/映射</x:v>
      </x:c>
      <x:c r="Z6" s="25" t="str">
        <x:v>去重/特殊说明</x:v>
      </x:c>
    </x:row>
    <x:row r="7" ht="36" customHeight="1">
      <x:c r="A7" s="30" t="str">
        <x:v>M035</x:v>
      </x:c>
      <x:c r="B7" s="30" t="str">
        <x:v>开放基金/课题候选</x:v>
      </x:c>
      <x:c r="C7" s="30" t="str">
        <x:v>上海科技大学</x:v>
      </x:c>
      <x:c r="D7" s="30" t="str">
        <x:v>智能感知与人机协同教育部重点实验室</x:v>
      </x:c>
      <x:c r="E7" s="30" t="str">
        <x:v>2026-10-08</x:v>
      </x:c>
      <x:c r="F7" s="30" t="str">
        <x:v>临界截止·需立即确认</x:v>
      </x:c>
      <x:c r="G7" s="30" t="str">
        <x:v>中</x:v>
      </x:c>
      <x:c r="H7" s="30" t="str">
        <x:v>高自由度机器人遥操作、柔性织物双臂操作</x:v>
      </x:c>
      <x:c r="I7" s="30" t="str">
        <x:v>柔性操作有关但非超声接触扫描</x:v>
      </x:c>
      <x:c r="J7" s="30" t="str">
        <x:v>官网公告正文未注明</x:v>
      </x:c>
      <x:c r="K7" s="30" t="str">
        <x:v>博士或副高级以上；非固定人员优先</x:v>
      </x:c>
      <x:c r="L7" s="30" t="str">
        <x:v>至少1名实验室固定人员联合申报</x:v>
      </x:c>
      <x:c r="M7" s="30" t="str">
        <x:v>是否外拨待核</x:v>
      </x:c>
      <x:c r="N7" s="30" t="str">
        <x:v>2027-01-01—2028-12-31</x:v>
      </x:c>
      <x:c r="O7" s="30" t="str">
        <x:v>成果与署名规则待核</x:v>
      </x:c>
      <x:c r="P7" s="30" t="str">
        <x:v>2026年10月8日前提交签署意见材料，邮箱stu_keylab.sist@shanghaitech.edu.cn</x:v>
      </x:c>
      <x:c r="Q7" s="30" t="str">
        <x:v>https://klip-humaco.sist.shanghaitech.edu.cn/2026/0914/c14914a1126983/page.htm</x:v>
      </x:c>
      <x:c r="R7" s="30" t="str">
        <x:v>https://klip-humaco.sist.shanghaitech.edu.cn/2026/0914/c14914a1126983/page.htm</x:v>
      </x:c>
      <x:c r="S7" s="30" t="str">
        <x:v>本轮已核官方公告正文</x:v>
      </x:c>
      <x:c r="T7" s="30" t="str">
        <x:v>缺逐附件完成证据/不适用</x:v>
      </x:c>
      <x:c r="U7" s="30" t="str">
        <x:v>2026-10-08（资料核对；并非所有项目重新官网复核）</x:v>
      </x:c>
      <x:c r="V7" s="30" t="str">
        <x:v>确认当天能否接收材料</x:v>
      </x:c>
      <x:c r="W7" s="30" t="str">
        <x:v>博士或副高级；与实验室固定人员联合申请</x:v>
      </x:c>
      <x:c r="X7" s="30" t="str">
        <x:v>共有基线v0.8</x:v>
      </x:c>
      <x:c r="Y7" s="30" t="str">
        <x:v>v0.8:M035</x:v>
      </x:c>
      <x:c r="Z7" s="30" t="str">
        <x:v>原编号保留</x:v>
      </x:c>
    </x:row>
    <x:row r="8" ht="36" customHeight="1">
      <x:c r="A8" s="30" t="str">
        <x:v>M068</x:v>
      </x:c>
      <x:c r="B8" s="30" t="str">
        <x:v>开放基金/课题候选</x:v>
      </x:c>
      <x:c r="C8" s="30" t="str">
        <x:v>中北大学</x:v>
      </x:c>
      <x:c r="D8" s="30" t="str">
        <x:v>机器视觉与虚拟现实山西省重点实验室</x:v>
      </x:c>
      <x:c r="E8" s="30" t="str">
        <x:v>2026-10-08</x:v>
      </x:c>
      <x:c r="F8" s="30" t="str">
        <x:v>今日截止·资格待核</x:v>
      </x:c>
      <x:c r="G8" s="30" t="str">
        <x:v>中</x:v>
      </x:c>
      <x:c r="H8" s="30" t="str">
        <x:v>机器视觉；三维重建；多模态融合</x:v>
      </x:c>
      <x:c r="I8" s="30" t="str">
        <x:v>与面上项目科学内容匹配程度依方向摘要判断；正式选题须核指南</x:v>
      </x:c>
      <x:c r="J8" s="30" t="str">
        <x:v>一般2万元；重点4万元/项；资助期2年</x:v>
      </x:c>
      <x:c r="K8" s="30" t="str">
        <x:v>副高及以上职称或相关学科博士学位</x:v>
      </x:c>
      <x:c r="L8" s="30" t="str">
        <x:v>成果至少署名本实验室固定研究人员1名</x:v>
      </x:c>
      <x:c r="M8" s="30" t="str">
        <x:v>中北大学实验室按制度审核报销；经费外拨待核</x:v>
      </x:c>
      <x:c r="N8" s="30" t="str">
        <x:v>2026-09-01至2028-08-31</x:v>
      </x:c>
      <x:c r="O8" s="30" t="str">
        <x:v>一般：SCI二区/CCF B论文≥1篇；重点：SCI一区/CCF A论文≥1篇；本人第一/通讯作者，实验室第一完成单位</x:v>
      </x:c>
      <x:c r="P8" s="30" t="str">
        <x:v>2026-10-08截止；电子邮件+纸质申请书2份邮寄，单位签章要求核附件</x:v>
      </x:c>
      <x:c r="Q8" s="30" t="str">
        <x:v>https://www.nuc.edu.cn/info/1014/62433.htm</x:v>
      </x:c>
      <x:c r="R8" s="30" t="str">
        <x:v>https://www.nuc.edu.cn/info/1014/62433.htm</x:v>
      </x:c>
      <x:c r="S8" s="30" t="str">
        <x:v>本轮已核官网2026正式公告正文；附件全文未复核</x:v>
      </x:c>
      <x:c r="T8" s="30" t="str">
        <x:v>缺逐附件完成证据/不适用</x:v>
      </x:c>
      <x:c r="U8" s="30" t="str">
        <x:v>2026-10-08（资料核对；并非所有项目重新官网复核）</x:v>
      </x:c>
      <x:c r="V8" s="30" t="str">
        <x:v>确认当天能否接收材料</x:v>
      </x:c>
      <x:c r="W8" s="30" t="str">
        <x:v>申请资格待核</x:v>
      </x:c>
      <x:c r="X8" s="30" t="str">
        <x:v>共有基线v0.8</x:v>
      </x:c>
      <x:c r="Y8" s="30" t="str">
        <x:v>v0.8:M068</x:v>
      </x:c>
      <x:c r="Z8" s="30" t="str">
        <x:v>原编号保留</x:v>
      </x:c>
    </x:row>
    <x:row r="9" ht="36" customHeight="1">
      <x:c r="A9" s="30" t="str">
        <x:v>M043</x:v>
      </x:c>
      <x:c r="B9" s="30" t="str">
        <x:v>开放基金/课题候选</x:v>
      </x:c>
      <x:c r="C9" s="30" t="str">
        <x:v>中北大学</x:v>
      </x:c>
      <x:c r="D9" s="30" t="str">
        <x:v>微纳器件与系统教育部重点实验室</x:v>
      </x:c>
      <x:c r="E9" s="30" t="str">
        <x:v>2026-10-08</x:v>
      </x:c>
      <x:c r="F9" s="30" t="str">
        <x:v>今日截止·资格待核</x:v>
      </x:c>
      <x:c r="G9" s="30" t="str">
        <x:v>低</x:v>
      </x:c>
      <x:c r="H9" s="30" t="str">
        <x:v>微纳机器人；高精密感知；智能执行器</x:v>
      </x:c>
      <x:c r="I9" s="30" t="str">
        <x:v>与面上项目科学内容匹配程度依方向摘要判断；正式选题须核指南</x:v>
      </x:c>
      <x:c r="J9" s="30" t="str">
        <x:v>2–4万元/项；资助期2年</x:v>
      </x:c>
      <x:c r="K9" s="30" t="str">
        <x:v>国内外科研人员；中级及以上职称</x:v>
      </x:c>
      <x:c r="L9" s="30" t="str">
        <x:v>与本实验室固定成员联合申请优先；同年度限申1项</x:v>
      </x:c>
      <x:c r="M9" s="30" t="str">
        <x:v>经费使用细则须核实验室管理办法</x:v>
      </x:c>
      <x:c r="N9" s="30" t="str">
        <x:v>2026-10至2028-10</x:v>
      </x:c>
      <x:c r="O9" s="30" t="str">
        <x:v>A2类及以上论文≥1篇或B类及以上≥2篇；实验室为论文第一标注单位；学术会议与赴实验室交流各至少1次</x:v>
      </x:c>
      <x:c r="P9" s="30" t="str">
        <x:v>2026-10-08截止；所在单位签章；纸质申请书3份，签章扫描电子版邮件递交</x:v>
      </x:c>
      <x:c r="Q9" s="30" t="str">
        <x:v>https://www.nuc.edu.cn/info/1014/62493.htm</x:v>
      </x:c>
      <x:c r="R9" s="30" t="str">
        <x:v>https://www.nuc.edu.cn/info/1014/62493.htm</x:v>
      </x:c>
      <x:c r="S9" s="30" t="str">
        <x:v>本轮已核官网2026正式公告正文；附件全文未复核</x:v>
      </x:c>
      <x:c r="T9" s="30" t="str">
        <x:v>缺逐附件完成证据/不适用</x:v>
      </x:c>
      <x:c r="U9" s="30" t="str">
        <x:v>2026-10-08（资料核对；并非所有项目重新官网复核）</x:v>
      </x:c>
      <x:c r="V9" s="30" t="str">
        <x:v>确认当天能否接收材料</x:v>
      </x:c>
      <x:c r="W9" s="30" t="str">
        <x:v>申请资格待核</x:v>
      </x:c>
      <x:c r="X9" s="30" t="str">
        <x:v>共有基线v0.8</x:v>
      </x:c>
      <x:c r="Y9" s="30" t="str">
        <x:v>v0.8:M043</x:v>
      </x:c>
      <x:c r="Z9" s="30" t="str">
        <x:v>原编号保留</x:v>
      </x:c>
    </x:row>
    <x:row r="10" ht="36" customHeight="1">
      <x:c r="A10" s="30" t="str">
        <x:v>M106</x:v>
      </x:c>
      <x:c r="B10" s="30" t="str">
        <x:v>开放基金/课题候选</x:v>
      </x:c>
      <x:c r="C10" s="30" t="str">
        <x:v>中北大学</x:v>
      </x:c>
      <x:c r="D10" s="30" t="str">
        <x:v>智能探测技术与装备山西省重点实验室</x:v>
      </x:c>
      <x:c r="E10" s="30" t="str">
        <x:v>2026-10-08</x:v>
      </x:c>
      <x:c r="F10" s="30" t="str">
        <x:v>今日截止·资格待核</x:v>
      </x:c>
      <x:c r="G10" s="30" t="str">
        <x:v>低</x:v>
      </x:c>
      <x:c r="H10" s="30" t="str">
        <x:v>机器感知、医学信息处理、智能探测</x:v>
      </x:c>
      <x:c r="I10" s="30" t="str">
        <x:v>与面上项目科学内容匹配程度依方向摘要判断；正式选题须核指南</x:v>
      </x:c>
      <x:c r="J10" s="30" t="str">
        <x:v>2–4万元/项；资助期2年</x:v>
      </x:c>
      <x:c r="K10" s="30" t="str">
        <x:v>中级职称以上；副高或有博士的中级可直接申报，其余需2位高级职称专家推荐</x:v>
      </x:c>
      <x:c r="L10" s="30" t="str">
        <x:v>与实验室固定成员联合申请优先；论文作者须含本实验室固定人员</x:v>
      </x:c>
      <x:c r="M10" s="30" t="str">
        <x:v>只在中北大学财务结算，不外拨</x:v>
      </x:c>
      <x:c r="N10" s="30" t="str">
        <x:v>2026-10至2028-10</x:v>
      </x:c>
      <x:c r="O10" s="30" t="str">
        <x:v>SCI二区及以上论文≥1篇或三区论文≥2篇；双单位署名并标注基金</x:v>
      </x:c>
      <x:c r="P10" s="30" t="str">
        <x:v>2026-10-08截止；单位签章；纸质3份+电子版递交至实验室</x:v>
      </x:c>
      <x:c r="Q10" s="30" t="str">
        <x:v>https://www.nuc.edu.cn/info/1014/62583.htm</x:v>
      </x:c>
      <x:c r="R10" s="30" t="str"/>
      <x:c r="S10" s="30" t="str">
        <x:v>本轮已核官网2026正式公告正文；附件全文未复核</x:v>
      </x:c>
      <x:c r="T10" s="30" t="str">
        <x:v>缺逐附件完成证据/不适用</x:v>
      </x:c>
      <x:c r="U10" s="30" t="str">
        <x:v>2026-10-08（资料核对；并非所有项目重新官网复核）</x:v>
      </x:c>
      <x:c r="V10" s="30" t="str">
        <x:v>确认当天能否接收材料</x:v>
      </x:c>
      <x:c r="W10" s="30" t="str">
        <x:v>申请资格待核</x:v>
      </x:c>
      <x:c r="X10" s="30" t="str">
        <x:v>共有基线v0.8</x:v>
      </x:c>
      <x:c r="Y10" s="30" t="str">
        <x:v>v0.8:M106</x:v>
      </x:c>
      <x:c r="Z10" s="30" t="str">
        <x:v>原编号保留</x:v>
      </x:c>
    </x:row>
    <x:row r="11" ht="36" customHeight="1">
      <x:c r="A11" s="30" t="str">
        <x:v>M114</x:v>
      </x:c>
      <x:c r="B11" s="30" t="str">
        <x:v>开放基金/课题候选</x:v>
      </x:c>
      <x:c r="C11" s="30" t="str">
        <x:v>西南交通大学等，待核</x:v>
      </x:c>
      <x:c r="D11" s="30" t="str">
        <x:v>桥梁智能与绿色建造全国重点实验室</x:v>
      </x:c>
      <x:c r="E11" s="30" t="str">
        <x:v>2026-10-08</x:v>
      </x:c>
      <x:c r="F11" s="30" t="str">
        <x:v>今日截止·资格待核</x:v>
      </x:c>
      <x:c r="G11" s="30" t="str">
        <x:v>低</x:v>
      </x:c>
      <x:c r="H11" s="30" t="str">
        <x:v>桥梁工程为核心应用；技术方法有有限交集</x:v>
      </x:c>
      <x:c r="I11" s="30" t="str">
        <x:v>与面上项目科学内容匹配程度依方向摘要判断；正式选题须核指南</x:v>
      </x:c>
      <x:c r="J11" s="30" t="str">
        <x:v>未记录／待核</x:v>
      </x:c>
      <x:c r="K11" s="30" t="str">
        <x:v>申请资格待核</x:v>
      </x:c>
      <x:c r="L11" s="30" t="str">
        <x:v>固定成员合作要求待核</x:v>
      </x:c>
      <x:c r="M11" s="30" t="str">
        <x:v>是否外拨待核</x:v>
      </x:c>
      <x:c r="N11" s="30" t="str">
        <x:v>研究周期待核</x:v>
      </x:c>
      <x:c r="O11" s="30" t="str">
        <x:v>成果与署名规则待核</x:v>
      </x:c>
      <x:c r="P11" s="30" t="str">
        <x:v>申请书、盖章及提交方式待核</x:v>
      </x:c>
      <x:c r="Q11" s="30" t="str">
        <x:v>https://bridge.swjtu.edu.cn/info/1066/8471.htm</x:v>
      </x:c>
      <x:c r="R11" s="30" t="str"/>
      <x:c r="S11" s="30" t="str">
        <x:v>仅继承来源信息/待核</x:v>
      </x:c>
      <x:c r="T11" s="30" t="str">
        <x:v>缺逐附件完成证据/不适用</x:v>
      </x:c>
      <x:c r="U11" s="30" t="str">
        <x:v>2026-10-08（资料核对；并非所有项目重新官网复核）</x:v>
      </x:c>
      <x:c r="V11" s="30" t="str">
        <x:v>确认当天能否接收材料</x:v>
      </x:c>
      <x:c r="W11" s="30" t="str">
        <x:v>申请资格待核</x:v>
      </x:c>
      <x:c r="X11" s="30" t="str">
        <x:v>共有基线v0.8</x:v>
      </x:c>
      <x:c r="Y11" s="30" t="str">
        <x:v>v0.8:M114</x:v>
      </x:c>
      <x:c r="Z11" s="30" t="str">
        <x:v>原编号保留</x:v>
      </x:c>
    </x:row>
    <x:row r="12" ht="36" customHeight="1">
      <x:c r="A12" s="30" t="str">
        <x:v>M066</x:v>
      </x:c>
      <x:c r="B12" s="30" t="str">
        <x:v>开放基金/课题候选</x:v>
      </x:c>
      <x:c r="C12" s="30" t="str">
        <x:v>山东科技大学</x:v>
      </x:c>
      <x:c r="D12" s="30" t="str">
        <x:v>山东省智能感知与自主控制重点实验室</x:v>
      </x:c>
      <x:c r="E12" s="30" t="str">
        <x:v>2026-10-15</x:v>
      </x:c>
      <x:c r="F12" s="30" t="str">
        <x:v>日期未过·资格待核</x:v>
      </x:c>
      <x:c r="G12" s="30" t="str">
        <x:v>高</x:v>
      </x:c>
      <x:c r="H12" s="30" t="str">
        <x:v>混合动态建模、非标准最优控制、多模态感知与反馈镇定；高度方法匹配</x:v>
      </x:c>
      <x:c r="I12" s="30" t="str">
        <x:v>与软接触建模及最优控制科学方法高度吻合，但产出义务重</x:v>
      </x:c>
      <x:c r="J12" s="30" t="str">
        <x:v>一般2万元；重点5万元</x:v>
      </x:c>
      <x:c r="K12" s="30" t="str">
        <x:v>国内院校/机构科研人员；博士或中级及以上职称</x:v>
      </x:c>
      <x:c r="L12" s="30" t="str">
        <x:v>无明文强制固定成员联报；但论文署名需山东科技大学人员</x:v>
      </x:c>
      <x:c r="M12" s="30" t="str">
        <x:v>是否外拨待核</x:v>
      </x:c>
      <x:c r="N12" s="30" t="str">
        <x:v>2026-10-24—2027-10-23</x:v>
      </x:c>
      <x:c r="O12" s="30" t="str">
        <x:v>一般≥2篇中科院二区及以上SCI；重点≥2篇SCI（≥1篇一区）+省部级二等奖以上或国家重点项目</x:v>
      </x:c>
      <x:c r="P12" s="30" t="str">
        <x:v>10月15日前：盖章签字纸质申请书4份+电子版+汇总表，邮件sdzngzkfkt2026@126.com</x:v>
      </x:c>
      <x:c r="Q12" s="30" t="str">
        <x:v>https://xindian.sdust.edu.cn/info/1008/7407.htm</x:v>
      </x:c>
      <x:c r="R12" s="30" t="str">
        <x:v>https://xindian.sdust.edu.cn/info/1008/7407.htm</x:v>
      </x:c>
      <x:c r="S12" s="30" t="str">
        <x:v>本轮已核官方公告正文；ZIP附件未核</x:v>
      </x:c>
      <x:c r="T12" s="30" t="str">
        <x:v>缺逐附件完成证据/不适用</x:v>
      </x:c>
      <x:c r="U12" s="30" t="str">
        <x:v>2026-10-08（资料核对；并非所有项目重新官网复核）</x:v>
      </x:c>
      <x:c r="V12" s="30" t="str">
        <x:v>查资格/联系实验室合作者</x:v>
      </x:c>
      <x:c r="W12" s="30" t="str">
        <x:v>论文署名及合作条件需审</x:v>
      </x:c>
      <x:c r="X12" s="30" t="str">
        <x:v>共有基线v0.8</x:v>
      </x:c>
      <x:c r="Y12" s="30" t="str">
        <x:v>v0.8:M066</x:v>
      </x:c>
      <x:c r="Z12" s="30" t="str">
        <x:v>原编号保留</x:v>
      </x:c>
    </x:row>
    <x:row r="13" ht="36" customHeight="1">
      <x:c r="A13" s="30" t="str">
        <x:v>M160</x:v>
      </x:c>
      <x:c r="B13" s="30" t="str">
        <x:v>开放基金/课题候选</x:v>
      </x:c>
      <x:c r="C13" s="30" t="str">
        <x:v>大连理工大学</x:v>
      </x:c>
      <x:c r="D13" s="30" t="str">
        <x:v>工业装备智能控制与优化教育部重点实验室</x:v>
      </x:c>
      <x:c r="E13" s="30" t="str">
        <x:v>2026-10-27</x:v>
      </x:c>
      <x:c r="F13" s="30" t="str">
        <x:v>日期未过·资格待核</x:v>
      </x:c>
      <x:c r="G13" s="30" t="str">
        <x:v>高</x:v>
      </x:c>
      <x:c r="H13" s="30" t="str">
        <x:v>复杂系统自适应/鲁棒控制、优化与动力学建模；工业装备场景</x:v>
      </x:c>
      <x:c r="I13" s="30" t="str">
        <x:v>控制和优化方法吻合，但机器人医学场景不能照搬</x:v>
      </x:c>
      <x:c r="J13" s="30" t="str">
        <x:v>3万元/项</x:v>
      </x:c>
      <x:c r="K13" s="30" t="str">
        <x:v>境内外高校/机构科研人员；申请书细则待核</x:v>
      </x:c>
      <x:c r="L13" s="30" t="str">
        <x:v>必须联合固定人员；鼓励到室交流</x:v>
      </x:c>
      <x:c r="M13" s="30" t="str">
        <x:v>是否外拨待核</x:v>
      </x:c>
      <x:c r="N13" s="30" t="str">
        <x:v>2026-10—2028-09</x:v>
      </x:c>
      <x:c r="O13" s="30" t="str">
        <x:v>成果与署名规则待核</x:v>
      </x:c>
      <x:c r="P13" s="30" t="str">
        <x:v>10月27日前：纸质盖章2份+电子版+汇总表</x:v>
      </x:c>
      <x:c r="Q13" s="30" t="str">
        <x:v>https://lico.dlut.edu.cn/info/1040/1345.htm</x:v>
      </x:c>
      <x:c r="R13" s="30" t="str"/>
      <x:c r="S13" s="30" t="str">
        <x:v>前期资料核过官方指南；本轮官网访问失败，未能复核附件</x:v>
      </x:c>
      <x:c r="T13" s="30" t="str">
        <x:v>缺逐附件完成证据/不适用</x:v>
      </x:c>
      <x:c r="U13" s="30" t="str">
        <x:v>2026-10-08（资料核对；并非所有项目重新官网复核）</x:v>
      </x:c>
      <x:c r="V13" s="30" t="str">
        <x:v>查资格/联系实验室合作者</x:v>
      </x:c>
      <x:c r="W13" s="30" t="str">
        <x:v>境内外高校与机构科技工作者；须联合实验室固定人员；同年限申1项且在研限1项；应赴实验室短期交流；签字盖章纸质申请书一式两份+电子版+汇总表</x:v>
      </x:c>
      <x:c r="X13" s="30" t="str">
        <x:v>共有基线v0.8</x:v>
      </x:c>
      <x:c r="Y13" s="30" t="str">
        <x:v>v0.8:M160</x:v>
      </x:c>
      <x:c r="Z13" s="30" t="str">
        <x:v>原编号保留</x:v>
      </x:c>
    </x:row>
    <x:row r="14" ht="36" customHeight="1">
      <x:c r="A14" s="30" t="str">
        <x:v>M078</x:v>
      </x:c>
      <x:c r="B14" s="30" t="str">
        <x:v>开放基金/课题候选</x:v>
      </x:c>
      <x:c r="C14" s="30" t="str">
        <x:v>苏州工学院</x:v>
      </x:c>
      <x:c r="D14" s="30" t="str">
        <x:v>江苏省具身智能工业机器人及其人机协作高校重点实验室</x:v>
      </x:c>
      <x:c r="E14" s="30" t="str">
        <x:v>2026-10-31</x:v>
      </x:c>
      <x:c r="F14" s="30" t="str">
        <x:v>日期未过·资格待核</x:v>
      </x:c>
      <x:c r="G14" s="30" t="str">
        <x:v>高</x:v>
      </x:c>
      <x:c r="H14" s="30" t="str">
        <x:v>智能医疗机器人、力触觉反馈、柔顺控制、人机协作、多模态感知</x:v>
      </x:c>
      <x:c r="I14" s="30" t="str">
        <x:v>可直接复用超声机器人力控/柔顺和交互研究</x:v>
      </x:c>
      <x:c r="J14" s="30" t="str">
        <x:v>1–3万元/项</x:v>
      </x:c>
      <x:c r="K14" s="30" t="str">
        <x:v>实验室外科研人员；博士或中级以上职称；优先≤40岁</x:v>
      </x:c>
      <x:c r="L14" s="30" t="str">
        <x:v>必须联合该实验室固定成员</x:v>
      </x:c>
      <x:c r="M14" s="30" t="str">
        <x:v>是否外拨待核</x:v>
      </x:c>
      <x:c r="N14" s="30" t="str">
        <x:v>≤12个月</x:v>
      </x:c>
      <x:c r="O14" s="30" t="str">
        <x:v>论文第一或通讯作者单位署实验室并标注资助；其他指标以任务书为准</x:v>
      </x:c>
      <x:c r="P14" s="30" t="str">
        <x:v>10月31日前：盖章签章申请书电子版邮件liqiaoshan@szut.edu.cn</x:v>
      </x:c>
      <x:c r="Q14" s="30" t="str">
        <x:v>https://dqxylib.szut.edu.cn/info/1016/27682.htm</x:v>
      </x:c>
      <x:c r="R14" s="30" t="str">
        <x:v>https://dqxylib.szut.edu.cn/info/1016/27682.htm</x:v>
      </x:c>
      <x:c r="S14" s="30" t="str">
        <x:v>本轮已核正式2026申报指南正文及10月31日截止；DOC附件未核</x:v>
      </x:c>
      <x:c r="T14" s="30" t="str">
        <x:v>缺逐附件完成证据/不适用</x:v>
      </x:c>
      <x:c r="U14" s="30" t="str">
        <x:v>2026-10-08（资料核对；并非所有项目重新官网复核）</x:v>
      </x:c>
      <x:c r="V14" s="30" t="str">
        <x:v>查资格/联系实验室合作者</x:v>
      </x:c>
      <x:c r="W14" s="30" t="str">
        <x:v>博士或中级及以上；联合固定成员；资助1-3万元</x:v>
      </x:c>
      <x:c r="X14" s="30" t="str">
        <x:v>共有基线v0.8</x:v>
      </x:c>
      <x:c r="Y14" s="30" t="str">
        <x:v>v0.8:M078</x:v>
      </x:c>
      <x:c r="Z14" s="30" t="str">
        <x:v>原编号保留</x:v>
      </x:c>
    </x:row>
    <x:row r="15" ht="36" customHeight="1">
      <x:c r="A15" s="30" t="str">
        <x:v>M017</x:v>
      </x:c>
      <x:c r="B15" s="30" t="str">
        <x:v>开放基金/课题候选</x:v>
      </x:c>
      <x:c r="C15" s="30" t="str">
        <x:v>天津大学</x:v>
      </x:c>
      <x:c r="D15" s="30" t="str">
        <x:v>精密测试技术及仪器全国重点实验室</x:v>
      </x:c>
      <x:c r="E15" s="30" t="str">
        <x:v>2026-10-18</x:v>
      </x:c>
      <x:c r="F15" s="30" t="str">
        <x:v>日期未过·资格待核</x:v>
      </x:c>
      <x:c r="G15" s="30" t="str">
        <x:v>中</x:v>
      </x:c>
      <x:c r="H15" s="30" t="str">
        <x:v>精密测试、三维测量、传感/成像评价</x:v>
      </x:c>
      <x:c r="I15" s="30" t="str">
        <x:v>感知/测试方法可复用，场景需核</x:v>
      </x:c>
      <x:c r="J15" s="30" t="str">
        <x:v>4–8万元/项</x:v>
      </x:c>
      <x:c r="K15" s="30" t="str">
        <x:v>申请资格详见官网RAR附件（未核）</x:v>
      </x:c>
      <x:c r="L15" s="30" t="str">
        <x:v>固定成员合作要求待核</x:v>
      </x:c>
      <x:c r="M15" s="30" t="str">
        <x:v>是否外拨待核</x:v>
      </x:c>
      <x:c r="N15" s="30" t="str">
        <x:v>研究周期待核</x:v>
      </x:c>
      <x:c r="O15" s="30" t="str">
        <x:v>成果与署名规则待核</x:v>
      </x:c>
      <x:c r="P15" s="30" t="str">
        <x:v>9月24日—10月18日申报；附件为RAR，需核操作细则</x:v>
      </x:c>
      <x:c r="Q15" s="30" t="str">
        <x:v>https://tju.edu.cn/info/1159/89632.htm</x:v>
      </x:c>
      <x:c r="R15" s="30" t="str">
        <x:v>https://tju.edu.cn/info/1159/89632.htm</x:v>
      </x:c>
      <x:c r="S15" s="30" t="str">
        <x:v>本轮已核官方公告正文；RAR附件未核</x:v>
      </x:c>
      <x:c r="T15" s="30" t="str">
        <x:v>缺逐附件完成证据/不适用</x:v>
      </x:c>
      <x:c r="U15" s="30" t="str">
        <x:v>2026-10-08（资料核对；并非所有项目重新官网复核）</x:v>
      </x:c>
      <x:c r="V15" s="30" t="str">
        <x:v>查资格/联系实验室合作者</x:v>
      </x:c>
      <x:c r="W15" s="30" t="str">
        <x:v>申请资格待核</x:v>
      </x:c>
      <x:c r="X15" s="30" t="str">
        <x:v>共有基线v0.8</x:v>
      </x:c>
      <x:c r="Y15" s="30" t="str">
        <x:v>v0.8:M017</x:v>
      </x:c>
      <x:c r="Z15" s="30" t="str">
        <x:v>原编号保留</x:v>
      </x:c>
    </x:row>
    <x:row r="16" ht="36" customHeight="1">
      <x:c r="A16" s="30" t="str">
        <x:v>M100</x:v>
      </x:c>
      <x:c r="B16" s="30" t="str">
        <x:v>开放基金/课题候选</x:v>
      </x:c>
      <x:c r="C16" s="30" t="str">
        <x:v>重庆交通大学</x:v>
      </x:c>
      <x:c r="D16" s="30" t="str">
        <x:v>交通工程应用机器人重庆市工程实验室</x:v>
      </x:c>
      <x:c r="E16" s="30" t="str">
        <x:v>2026-10-30</x:v>
      </x:c>
      <x:c r="F16" s="30" t="str">
        <x:v>日期未过·资格待核</x:v>
      </x:c>
      <x:c r="G16" s="30" t="str">
        <x:v>中</x:v>
      </x:c>
      <x:c r="H16" s="30" t="str">
        <x:v>交通工程应用机器人感知/规划/控制；交通场景限定</x:v>
      </x:c>
      <x:c r="I16" s="30" t="str">
        <x:v>机器人技术相关，应用领域限制</x:v>
      </x:c>
      <x:c r="J16" s="30" t="str">
        <x:v>金额见附件1，尚未读取</x:v>
      </x:c>
      <x:c r="K16" s="30" t="str">
        <x:v>具体申请资格在申报指南DOCX附件，待核</x:v>
      </x:c>
      <x:c r="L16" s="30" t="str">
        <x:v>固定成员合作要求待核</x:v>
      </x:c>
      <x:c r="M16" s="30" t="str">
        <x:v>是否外拨待核</x:v>
      </x:c>
      <x:c r="N16" s="30" t="str">
        <x:v>研究周期待核</x:v>
      </x:c>
      <x:c r="O16" s="30" t="str">
        <x:v>成果与署名规则待核</x:v>
      </x:c>
      <x:c r="P16" s="30" t="str">
        <x:v>10月30日17:00截止；附件1~8含指南和申请书</x:v>
      </x:c>
      <x:c r="Q16" s="30" t="str">
        <x:v>https://news.cqjtu.edu.cn/info/1024/68220.htm</x:v>
      </x:c>
      <x:c r="R16" s="30" t="str">
        <x:v>https://news.cqjtu.edu.cn/info/1024/68220.htm</x:v>
      </x:c>
      <x:c r="S16" s="30" t="str">
        <x:v>本轮已核官方公告正文；关键DOCX附件未核</x:v>
      </x:c>
      <x:c r="T16" s="30" t="str">
        <x:v>缺逐附件完成证据/不适用</x:v>
      </x:c>
      <x:c r="U16" s="30" t="str">
        <x:v>2026-10-08（资料核对；并非所有项目重新官网复核）</x:v>
      </x:c>
      <x:c r="V16" s="30" t="str">
        <x:v>查资格/联系实验室合作者</x:v>
      </x:c>
      <x:c r="W16" s="30" t="str">
        <x:v>申请资格待核</x:v>
      </x:c>
      <x:c r="X16" s="30" t="str">
        <x:v>共有基线v0.8</x:v>
      </x:c>
      <x:c r="Y16" s="30" t="str">
        <x:v>v0.8:M100</x:v>
      </x:c>
      <x:c r="Z16" s="30" t="str">
        <x:v>原编号保留</x:v>
      </x:c>
    </x:row>
    <x:row r="17" ht="36" customHeight="1">
      <x:c r="A17" s="30" t="str">
        <x:v>M041</x:v>
      </x:c>
      <x:c r="B17" s="30" t="str">
        <x:v>开放基金/课题候选</x:v>
      </x:c>
      <x:c r="C17" s="30" t="str">
        <x:v>中国科学技术大学</x:v>
      </x:c>
      <x:c r="D17" s="30" t="str">
        <x:v>脑启发智能感知与认知教育部重点实验室</x:v>
      </x:c>
      <x:c r="E17" s="30" t="str">
        <x:v>2026-10-31</x:v>
      </x:c>
      <x:c r="F17" s="30" t="str">
        <x:v>日期未过·资格待核</x:v>
      </x:c>
      <x:c r="G17" s="30" t="str">
        <x:v>中</x:v>
      </x:c>
      <x:c r="H17" s="30" t="str">
        <x:v>脑启发感知与决策、视觉感知；不直接支持医学超声接触控制</x:v>
      </x:c>
      <x:c r="I17" s="30" t="str">
        <x:v>与面上项目科学内容匹配程度依方向摘要判断；正式选题须核指南</x:v>
      </x:c>
      <x:c r="J17" s="30" t="str">
        <x:v>5万元/项</x:v>
      </x:c>
      <x:c r="K17" s="30" t="str">
        <x:v>校外科研人员；博士或副高以上；年龄≤40周岁</x:v>
      </x:c>
      <x:c r="L17" s="30" t="str">
        <x:v>鼓励合作，立项后须校内经费联系人</x:v>
      </x:c>
      <x:c r="M17" s="30" t="str">
        <x:v>不外拨；实验室统一管理与报销</x:v>
      </x:c>
      <x:c r="N17" s="30" t="str">
        <x:v>1–2年</x:v>
      </x:c>
      <x:c r="O17" s="30" t="str">
        <x:v>实验室署名单位+基金编号；成果双方共有</x:v>
      </x:c>
      <x:c r="P17" s="30" t="str">
        <x:v>4份盖章纸质申请书邮寄 + 电子版niant209@ustc.edu.cn</x:v>
      </x:c>
      <x:c r="Q17" s="30" t="str">
        <x:v>https://institution.ustc.edu.cn/BIPCLab/zh_CN/article/994106/content/5479.htm</x:v>
      </x:c>
      <x:c r="R17" s="30" t="str">
        <x:v>https://institution.ustc.edu.cn/BIPCLab/zh_CN/article/994106/content/5479.htm</x:v>
      </x:c>
      <x:c r="S17" s="30" t="str">
        <x:v>本轮已核官方公告正文；申请书附件未核</x:v>
      </x:c>
      <x:c r="T17" s="30" t="str">
        <x:v>缺逐附件完成证据/不适用</x:v>
      </x:c>
      <x:c r="U17" s="30" t="str">
        <x:v>2026-10-08（资料核对；并非所有项目重新官网复核）</x:v>
      </x:c>
      <x:c r="V17" s="30" t="str">
        <x:v>查资格/联系实验室合作者</x:v>
      </x:c>
      <x:c r="W17" s="30" t="str">
        <x:v>年龄等具体资格要求核对</x:v>
      </x:c>
      <x:c r="X17" s="30" t="str">
        <x:v>共有基线v0.8</x:v>
      </x:c>
      <x:c r="Y17" s="30" t="str">
        <x:v>v0.8:M041</x:v>
      </x:c>
      <x:c r="Z17" s="30" t="str">
        <x:v>原编号保留</x:v>
      </x:c>
    </x:row>
    <x:row r="18" ht="36" customHeight="1">
      <x:c r="A18" s="30" t="str">
        <x:v>M077</x:v>
      </x:c>
      <x:c r="B18" s="30" t="str">
        <x:v>开放基金/课题候选</x:v>
      </x:c>
      <x:c r="C18" s="30" t="str">
        <x:v>苏州大学</x:v>
      </x:c>
      <x:c r="D18" s="30" t="str">
        <x:v>江苏省高校通用人工智能与大模型重点实验室</x:v>
      </x:c>
      <x:c r="E18" s="30" t="str">
        <x:v>2026-11-10</x:v>
      </x:c>
      <x:c r="F18" s="30" t="str">
        <x:v>日期未过·资格待核</x:v>
      </x:c>
      <x:c r="G18" s="30" t="str">
        <x:v>中</x:v>
      </x:c>
      <x:c r="H18" s="30" t="str">
        <x:v>具身智能、多模态感知、世界模型、感知决策执行；偏大模型研究</x:v>
      </x:c>
      <x:c r="I18" s="30" t="str">
        <x:v>研究方向相关，但收益和成果义务不成比例</x:v>
      </x:c>
      <x:c r="J18" s="30" t="str">
        <x:v>0.5万元/项</x:v>
      </x:c>
      <x:c r="K18" s="30" t="str">
        <x:v>副高及以上；中级职称须高级专家推荐</x:v>
      </x:c>
      <x:c r="L18" s="30" t="str">
        <x:v>官网无强制联报条款；成果须标实验室</x:v>
      </x:c>
      <x:c r="M18" s="30" t="str">
        <x:v>按苏州大学财务制度；是否外拨未明</x:v>
      </x:c>
      <x:c r="N18" s="30" t="str">
        <x:v>2年</x:v>
      </x:c>
      <x:c r="O18" s="30" t="str">
        <x:v>≥3篇规定范围内高水平论文；第一作者单位署苏州大学实验室</x:v>
      </x:c>
      <x:c r="P18" s="30" t="str">
        <x:v>11月10日前：纸质申请书3份邮寄+电子邮件ycli96@suda.edu.cn</x:v>
      </x:c>
      <x:c r="Q18" s="30" t="str">
        <x:v>https://future.suda.edu.cn/e8/2a/c30836a714794/page.htm</x:v>
      </x:c>
      <x:c r="R18" s="30" t="str">
        <x:v>https://future.suda.edu.cn/e8/2a/c30836a714794/page.htm</x:v>
      </x:c>
      <x:c r="S18" s="30" t="str">
        <x:v>本轮已核官方公告正文；DOC申请书未核</x:v>
      </x:c>
      <x:c r="T18" s="30" t="str">
        <x:v>缺逐附件完成证据/不适用</x:v>
      </x:c>
      <x:c r="U18" s="30" t="str">
        <x:v>2026-10-08（资料核对；并非所有项目重新官网复核）</x:v>
      </x:c>
      <x:c r="V18" s="30" t="str">
        <x:v>查资格/联系实验室合作者</x:v>
      </x:c>
      <x:c r="W18" s="30" t="str">
        <x:v>上轮记录资助0.5万元、成果要求高，需复核</x:v>
      </x:c>
      <x:c r="X18" s="30" t="str">
        <x:v>共有基线v0.8</x:v>
      </x:c>
      <x:c r="Y18" s="30" t="str">
        <x:v>v0.8:M077</x:v>
      </x:c>
      <x:c r="Z18" s="30" t="str">
        <x:v>原编号保留</x:v>
      </x:c>
    </x:row>
    <x:row r="19" ht="36" customHeight="1">
      <x:c r="A19" s="30" t="str">
        <x:v>M161</x:v>
      </x:c>
      <x:c r="B19" s="30" t="str">
        <x:v>开放基金/课题候选</x:v>
      </x:c>
      <x:c r="C19" s="30" t="str">
        <x:v>武汉科技大学</x:v>
      </x:c>
      <x:c r="D19" s="30" t="str">
        <x:v>机械传动与制造工程湖北省重点实验室</x:v>
      </x:c>
      <x:c r="E19" s="30" t="str">
        <x:v>2026-11-15</x:v>
      </x:c>
      <x:c r="F19" s="30" t="str">
        <x:v>日期未过·资格待核</x:v>
      </x:c>
      <x:c r="G19" s="30" t="str">
        <x:v>中</x:v>
      </x:c>
      <x:c r="H19" s="30" t="str">
        <x:v>机械传动动力学、机电液控制、精密传感；机械装备场景</x:v>
      </x:c>
      <x:c r="I19" s="30" t="str">
        <x:v>与面上项目科学内容匹配程度依方向摘要判断；正式选题须核指南</x:v>
      </x:c>
      <x:c r="J19" s="30" t="str">
        <x:v>一般2万元；重点3万元</x:v>
      </x:c>
      <x:c r="K19" s="30" t="str">
        <x:v>原则上博士；无博士/高级职称须高级专家推荐</x:v>
      </x:c>
      <x:c r="L19" s="30" t="str">
        <x:v>优先校外申请人；固定人员原则上参与</x:v>
      </x:c>
      <x:c r="M19" s="30" t="str">
        <x:v>是否外拨待核</x:v>
      </x:c>
      <x:c r="N19" s="30" t="str">
        <x:v>2027–2028</x:v>
      </x:c>
      <x:c r="O19" s="30" t="str">
        <x:v>≥2篇ESI工程领域论文，实验室第一/第二单位，固定成员原则上署名</x:v>
      </x:c>
      <x:c r="P19" s="30" t="str">
        <x:v>11月15日前：盖章签章电子PDF发pozhang@wust.edu.cn；无须邮寄</x:v>
      </x:c>
      <x:c r="Q19" s="30" t="str">
        <x:v>https://jxcd.wust.edu.cn/info/1201/3011.htm</x:v>
      </x:c>
      <x:c r="R19" s="30" t="str"/>
      <x:c r="S19" s="30" t="str">
        <x:v>本轮已核官方公告正文</x:v>
      </x:c>
      <x:c r="T19" s="30" t="str">
        <x:v>缺逐附件完成证据/不适用</x:v>
      </x:c>
      <x:c r="U19" s="30" t="str">
        <x:v>2026-10-08（资料核对；并非所有项目重新官网复核）</x:v>
      </x:c>
      <x:c r="V19" s="30" t="str">
        <x:v>查资格/联系实验室合作者</x:v>
      </x:c>
      <x:c r="W19" s="30" t="str">
        <x:v>原则上博士学位；其他缺博士或高级职称者需同行专家推荐；校外人员优先，固定人员共同参与；只交签章PDF电子版；结题ESI工程学论文至少2篇，实验室列第一或第二单位且一般需固定人员署名</x:v>
      </x:c>
      <x:c r="X19" s="30" t="str">
        <x:v>共有基线v0.8</x:v>
      </x:c>
      <x:c r="Y19" s="30" t="str">
        <x:v>v0.8:M161</x:v>
      </x:c>
      <x:c r="Z19" s="30" t="str">
        <x:v>原编号保留</x:v>
      </x:c>
    </x:row>
    <x:row r="20" ht="36" customHeight="1">
      <x:c r="A20" s="30" t="str">
        <x:v>M029</x:v>
      </x:c>
      <x:c r="B20" s="30" t="str">
        <x:v>开放基金/课题候选</x:v>
      </x:c>
      <x:c r="C20" s="30" t="str">
        <x:v>华中科技大学</x:v>
      </x:c>
      <x:c r="D20" s="30" t="str">
        <x:v>智能制造装备与技术全国重点实验室</x:v>
      </x:c>
      <x:c r="E20" s="30" t="str">
        <x:v>2026-11-30</x:v>
      </x:c>
      <x:c r="F20" s="30" t="str">
        <x:v>日期未过·资格待核</x:v>
      </x:c>
      <x:c r="G20" s="30" t="str">
        <x:v>中</x:v>
      </x:c>
      <x:c r="H20" s="30" t="str">
        <x:v>多模态感知、具身智能机器人自主控制、技能学习；需面向智能制造装备</x:v>
      </x:c>
      <x:c r="I20" s="30" t="str">
        <x:v>机器人控制方法匹配，但超声医疗设备应用未必符合重点方向</x:v>
      </x:c>
      <x:c r="J20" s="30" t="str">
        <x:v>官网公告正文未给出具体资助金额</x:v>
      </x:c>
      <x:c r="K20" s="30" t="str">
        <x:v>在职研究人员，博士或副高及以上；否则2位副高书面推荐</x:v>
      </x:c>
      <x:c r="L20" s="30" t="str">
        <x:v>校外申请优先，无强制固定人员联报条款（以申请书细则为准）</x:v>
      </x:c>
      <x:c r="M20" s="30" t="str">
        <x:v>是否外拨待核</x:v>
      </x:c>
      <x:c r="N20" s="30" t="str">
        <x:v>一般2年</x:v>
      </x:c>
      <x:c r="O20" s="30" t="str">
        <x:v>成果与署名规则待核</x:v>
      </x:c>
      <x:c r="P20" s="30" t="str">
        <x:v>单位盖章申请表发送imet@hust.edu.cn；11月30日截止</x:v>
      </x:c>
      <x:c r="Q20" s="30" t="str">
        <x:v>https://imet.hust.edu.cn/info/1031/2870.htm</x:v>
      </x:c>
      <x:c r="R20" s="30" t="str">
        <x:v>https://imet.hust.edu.cn/info/1031/2870.htm</x:v>
      </x:c>
      <x:c r="S20" s="30" t="str">
        <x:v>本轮已核官方公告正文；申请书附件未核</x:v>
      </x:c>
      <x:c r="T20" s="30" t="str">
        <x:v>缺逐附件完成证据/不适用</x:v>
      </x:c>
      <x:c r="U20" s="30" t="str">
        <x:v>2026-10-08（资料核对；并非所有项目重新官网复核）</x:v>
      </x:c>
      <x:c r="V20" s="30" t="str">
        <x:v>查资格/联系实验室合作者</x:v>
      </x:c>
      <x:c r="W20" s="30" t="str">
        <x:v>申请资格待核</x:v>
      </x:c>
      <x:c r="X20" s="30" t="str">
        <x:v>共有基线v0.8</x:v>
      </x:c>
      <x:c r="Y20" s="30" t="str">
        <x:v>v0.8:M029</x:v>
      </x:c>
      <x:c r="Z20" s="30" t="str">
        <x:v>原编号保留</x:v>
      </x:c>
    </x:row>
    <x:row r="21" ht="36" customHeight="1">
      <x:c r="A21" s="30" t="str">
        <x:v>M003</x:v>
      </x:c>
      <x:c r="B21" s="30" t="str">
        <x:v>开放基金/课题候选</x:v>
      </x:c>
      <x:c r="C21" s="30" t="str">
        <x:v>上海科技大学</x:v>
      </x:c>
      <x:c r="D21" s="30" t="str">
        <x:v>先进医用材料与医疗器械全国重点实验室（第二批重点开放）</x:v>
      </x:c>
      <x:c r="E21" s="30" t="str">
        <x:v>2026-10-09</x:v>
      </x:c>
      <x:c r="F21" s="30" t="str">
        <x:v>日期未过·资格待核</x:v>
      </x:c>
      <x:c r="G21" s="30" t="str">
        <x:v>低</x:v>
      </x:c>
      <x:c r="H21" s="30" t="str">
        <x:v>DR影像质量评估；但限定特定临床课题，含DR方向≥15家临床分中心</x:v>
      </x:c>
      <x:c r="I21" s="30" t="str">
        <x:v>超声扫描与DR/MRI/CT临床指定任务差异较大</x:v>
      </x:c>
      <x:c r="J21" s="30" t="str">
        <x:v>官网未注明</x:v>
      </x:c>
      <x:c r="K21" s="30" t="str">
        <x:v>固定工作单位、有前期研究基础</x:v>
      </x:c>
      <x:c r="L21" s="30" t="str">
        <x:v>必须与全重固定成员合作</x:v>
      </x:c>
      <x:c r="M21" s="30" t="str">
        <x:v>是否外拨待核</x:v>
      </x:c>
      <x:c r="N21" s="30" t="str">
        <x:v>研究周期待核</x:v>
      </x:c>
      <x:c r="O21" s="30" t="str">
        <x:v>合同/指南待核</x:v>
      </x:c>
      <x:c r="P21" s="30" t="str">
        <x:v>10月9日18:00前，盖章签字PDF邮件research.bme@shanghaitech.edu.cn</x:v>
      </x:c>
      <x:c r="Q21" s="30" t="str">
        <x:v>https://www.shanghaitech.edu.cn/2026/0907/c1482a1126842/page.htm</x:v>
      </x:c>
      <x:c r="R21" s="30" t="str">
        <x:v>https://www.shanghaitech.edu.cn/2026/0907/c1482a1126842/page.htm</x:v>
      </x:c>
      <x:c r="S21" s="30" t="str">
        <x:v>本轮已核官方公告正文；申请书附件未读</x:v>
      </x:c>
      <x:c r="T21" s="30" t="str">
        <x:v>缺逐附件完成证据/不适用</x:v>
      </x:c>
      <x:c r="U21" s="30" t="str">
        <x:v>2026-10-08（资料核对；并非所有项目重新官网复核）</x:v>
      </x:c>
      <x:c r="V21" s="30" t="str">
        <x:v>查资格/联系实验室合作者</x:v>
      </x:c>
      <x:c r="W21" s="30" t="str">
        <x:v>临床项目指定细分任务；要求固定成员合作，部分方向需15家临床中心</x:v>
      </x:c>
      <x:c r="X21" s="30" t="str">
        <x:v>共有基线v0.8</x:v>
      </x:c>
      <x:c r="Y21" s="30" t="str">
        <x:v>v0.8:M003</x:v>
      </x:c>
      <x:c r="Z21" s="30" t="str">
        <x:v>原编号保留</x:v>
      </x:c>
    </x:row>
    <x:row r="22" ht="36" customHeight="1">
      <x:c r="A22" s="30" t="str">
        <x:v>M140</x:v>
      </x:c>
      <x:c r="B22" s="30" t="str">
        <x:v>开放基金/课题候选</x:v>
      </x:c>
      <x:c r="C22" s="30" t="str">
        <x:v>中国科学院物理研究所</x:v>
      </x:c>
      <x:c r="D22" s="30" t="str">
        <x:v>平台/项目名称见官网</x:v>
      </x:c>
      <x:c r="E22" s="30" t="str">
        <x:v>2026-10-09</x:v>
      </x:c>
      <x:c r="F22" s="30" t="str">
        <x:v>日期未过·资格待核</x:v>
      </x:c>
      <x:c r="G22" s="30" t="str">
        <x:v>低</x:v>
      </x:c>
      <x:c r="H22" s="30" t="str">
        <x:v>匹配研究方向：物理凝聚态、材料与仪器方向；与超声机器人当前研究的关联较弱</x:v>
      </x:c>
      <x:c r="I22" s="30" t="str">
        <x:v>与面上项目科学内容匹配程度依方向摘要判断；正式选题须核指南</x:v>
      </x:c>
      <x:c r="J22" s="30" t="str">
        <x:v>未记录／待核</x:v>
      </x:c>
      <x:c r="K22" s="30" t="str">
        <x:v>纸质1份（邮戳）和Word/扫描电子版需10月9日前；申请资格以完整官方指南为准</x:v>
      </x:c>
      <x:c r="L22" s="30" t="str">
        <x:v>固定成员合作要求待核</x:v>
      </x:c>
      <x:c r="M22" s="30" t="str">
        <x:v>是否外拨待核</x:v>
      </x:c>
      <x:c r="N22" s="30" t="str">
        <x:v>研究周期待核</x:v>
      </x:c>
      <x:c r="O22" s="30" t="str">
        <x:v>成果与署名规则待核</x:v>
      </x:c>
      <x:c r="P22" s="30" t="str">
        <x:v>申请书、盖章及提交方式待核</x:v>
      </x:c>
      <x:c r="Q22" s="30" t="str">
        <x:v>https://www.iphy.ac.cn/xwzx/tzgg/202608/t20260827_8265708.html</x:v>
      </x:c>
      <x:c r="R22" s="30" t="str"/>
      <x:c r="S22" s="30" t="str">
        <x:v>仅继承来源信息/待核</x:v>
      </x:c>
      <x:c r="T22" s="30" t="str">
        <x:v>缺逐附件完成证据/不适用</x:v>
      </x:c>
      <x:c r="U22" s="30" t="str">
        <x:v>2026-10-08（资料核对；并非所有项目重新官网复核）</x:v>
      </x:c>
      <x:c r="V22" s="30" t="str">
        <x:v>查资格/联系实验室合作者</x:v>
      </x:c>
      <x:c r="W22" s="30" t="str">
        <x:v>纸质1份（邮戳）和Word/扫描电子版需10月9日前；申请资格以完整官方指南为准</x:v>
      </x:c>
      <x:c r="X22" s="30" t="str">
        <x:v>共有基线v0.8</x:v>
      </x:c>
      <x:c r="Y22" s="30" t="str">
        <x:v>v0.8:M140</x:v>
      </x:c>
      <x:c r="Z22" s="30" t="str">
        <x:v>原编号保留</x:v>
      </x:c>
    </x:row>
    <x:row r="23" ht="36" customHeight="1">
      <x:c r="A23" s="30" t="str">
        <x:v>M152</x:v>
      </x:c>
      <x:c r="B23" s="30" t="str">
        <x:v>开放基金/课题候选</x:v>
      </x:c>
      <x:c r="C23" s="30" t="str">
        <x:v>南京航空航天大学</x:v>
      </x:c>
      <x:c r="D23" s="30" t="str">
        <x:v>航空航天结构力学及控制全国重点实验室</x:v>
      </x:c>
      <x:c r="E23" s="30" t="str">
        <x:v>2026-10-10</x:v>
      </x:c>
      <x:c r="F23" s="30" t="str">
        <x:v>日期未过·资格待核</x:v>
      </x:c>
      <x:c r="G23" s="30" t="str">
        <x:v>低</x:v>
      </x:c>
      <x:c r="H23" s="30" t="str">
        <x:v>结构力学/动力学及控制；航空航天场景限定</x:v>
      </x:c>
      <x:c r="I23" s="30" t="str">
        <x:v>与面上项目科学内容匹配程度依方向摘要判断；正式选题须核指南</x:v>
      </x:c>
      <x:c r="J23" s="30" t="str">
        <x:v>青年5–8万；面上10–12万；重点20–30万元</x:v>
      </x:c>
      <x:c r="K23" s="30" t="str">
        <x:v>博士或高级职称；青年≤35周岁；在研未结题不得报</x:v>
      </x:c>
      <x:c r="L23" s="30" t="str">
        <x:v>需联系实验室固定人员作合作者</x:v>
      </x:c>
      <x:c r="M23" s="30" t="str">
        <x:v>是否外拨待核</x:v>
      </x:c>
      <x:c r="N23" s="30" t="str">
        <x:v>2027–2028</x:v>
      </x:c>
      <x:c r="O23" s="30" t="str">
        <x:v>成果与署名规则待核</x:v>
      </x:c>
      <x:c r="P23" s="30" t="str">
        <x:v>10月10日前：电子签名PDF邮件skl@nuaa.edu.cn + 盖章纸质1份(EMS/顺丰)</x:v>
      </x:c>
      <x:c r="Q23" s="30" t="str">
        <x:v>https://skl.nuaa.edu.cn/2026/0905/c4738a409560/page.htm</x:v>
      </x:c>
      <x:c r="R23" s="30" t="str"/>
      <x:c r="S23" s="30" t="str">
        <x:v>本轮已核官方通知正文；方向指南PDF未逐页读取</x:v>
      </x:c>
      <x:c r="T23" s="30" t="str">
        <x:v>缺逐附件完成证据/不适用</x:v>
      </x:c>
      <x:c r="U23" s="30" t="str">
        <x:v>2026-10-08（资料核对；并非所有项目重新官网复核）</x:v>
      </x:c>
      <x:c r="V23" s="30" t="str">
        <x:v>查资格/联系实验室合作者</x:v>
      </x:c>
      <x:c r="W23" s="30" t="str">
        <x:v>博士/高级职称；联系固定合作者；重点20-30万元/面上10-12万元/青年5-8万元；电子版及纸质件同截止日提交</x:v>
      </x:c>
      <x:c r="X23" s="30" t="str">
        <x:v>共有基线v0.8</x:v>
      </x:c>
      <x:c r="Y23" s="30" t="str">
        <x:v>v0.8:M152</x:v>
      </x:c>
      <x:c r="Z23" s="30" t="str">
        <x:v>原编号保留</x:v>
      </x:c>
    </x:row>
    <x:row r="24" ht="36" customHeight="1">
      <x:c r="A24" s="30" t="str">
        <x:v>M163</x:v>
      </x:c>
      <x:c r="B24" s="30" t="str">
        <x:v>开放基金/课题候选</x:v>
      </x:c>
      <x:c r="C24" s="30" t="str">
        <x:v>四川大学</x:v>
      </x:c>
      <x:c r="D24" s="30" t="str">
        <x:v>深地科学与工程教育部重点实验室</x:v>
      </x:c>
      <x:c r="E24" s="30" t="str">
        <x:v>2026-10-10</x:v>
      </x:c>
      <x:c r="F24" s="30" t="str">
        <x:v>日期未过·资格待核</x:v>
      </x:c>
      <x:c r="G24" s="30" t="str">
        <x:v>低</x:v>
      </x:c>
      <x:c r="H24" s="30" t="str">
        <x:v>重大工程健康监测与智能评估、结构动力学、力学模型有方法交集，深地岩体/灾害对象与超声机器人差异显著</x:v>
      </x:c>
      <x:c r="I24" s="30" t="str">
        <x:v>与面上项目科学内容匹配程度依方向摘要判断；正式选题须核指南</x:v>
      </x:c>
      <x:c r="J24" s="30" t="str">
        <x:v>一般3—4万元/项、预研2万元/项（历史记录）</x:v>
      </x:c>
      <x:c r="K24" s="30" t="str">
        <x:v>中级职称或在站博士后等；校外课题需以四川大学相关人员为第一合作申请人并获实验室指定；纸质盖章件+电子申请</x:v>
      </x:c>
      <x:c r="L24" s="30" t="str">
        <x:v>固定成员合作要求待核</x:v>
      </x:c>
      <x:c r="M24" s="30" t="str">
        <x:v>是否外拨待核</x:v>
      </x:c>
      <x:c r="N24" s="30" t="str">
        <x:v>研究周期待核</x:v>
      </x:c>
      <x:c r="O24" s="30" t="str">
        <x:v>成果与署名规则待核</x:v>
      </x:c>
      <x:c r="P24" s="30" t="str">
        <x:v>申请书、盖章及提交方式待核</x:v>
      </x:c>
      <x:c r="Q24" s="30" t="str">
        <x:v>https://duse.scu.edu.cn/News/tz/2026-09-09/261.html</x:v>
      </x:c>
      <x:c r="R24" s="30" t="str"/>
      <x:c r="S24" s="30" t="str">
        <x:v>仅继承来源信息/待核</x:v>
      </x:c>
      <x:c r="T24" s="30" t="str">
        <x:v>缺逐附件完成证据/不适用</x:v>
      </x:c>
      <x:c r="U24" s="30" t="str">
        <x:v>2026-10-08（资料核对；并非所有项目重新官网复核）</x:v>
      </x:c>
      <x:c r="V24" s="30" t="str">
        <x:v>查资格/联系实验室合作者</x:v>
      </x:c>
      <x:c r="W24" s="30" t="str">
        <x:v>中级职称或在站博士后等；校外课题需以四川大学相关人员为第一合作申请人并获实验室指定；纸质盖章件+电子申请</x:v>
      </x:c>
      <x:c r="X24" s="30" t="str">
        <x:v>共有基线v0.8</x:v>
      </x:c>
      <x:c r="Y24" s="30" t="str">
        <x:v>v0.8:M163</x:v>
      </x:c>
      <x:c r="Z24" s="30" t="str">
        <x:v>原编号保留</x:v>
      </x:c>
    </x:row>
    <x:row r="25" ht="36" customHeight="1">
      <x:c r="A25" s="30" t="str">
        <x:v>M107</x:v>
      </x:c>
      <x:c r="B25" s="30" t="str">
        <x:v>开放基金/课题候选</x:v>
      </x:c>
      <x:c r="C25" s="30" t="str">
        <x:v>中北大学</x:v>
      </x:c>
      <x:c r="D25" s="30" t="str">
        <x:v>电子测试技术全国重点实验室</x:v>
      </x:c>
      <x:c r="E25" s="30" t="str">
        <x:v>2026-10-12</x:v>
      </x:c>
      <x:c r="F25" s="30" t="str">
        <x:v>日期未过·资格待核</x:v>
      </x:c>
      <x:c r="G25" s="30" t="str">
        <x:v>低</x:v>
      </x:c>
      <x:c r="H25" s="30" t="str">
        <x:v>智能测试、传感与测量技术；曾提不超过10万元</x:v>
      </x:c>
      <x:c r="I25" s="30" t="str">
        <x:v>与面上项目科学内容匹配程度依方向摘要判断；正式选题须核指南</x:v>
      </x:c>
      <x:c r="J25" s="30" t="str">
        <x:v>未记录／待核</x:v>
      </x:c>
      <x:c r="K25" s="30" t="str">
        <x:v>申请资格待核</x:v>
      </x:c>
      <x:c r="L25" s="30" t="str">
        <x:v>固定成员合作要求待核</x:v>
      </x:c>
      <x:c r="M25" s="30" t="str">
        <x:v>是否外拨待核</x:v>
      </x:c>
      <x:c r="N25" s="30" t="str">
        <x:v>研究周期待核</x:v>
      </x:c>
      <x:c r="O25" s="30" t="str">
        <x:v>成果与署名规则待核</x:v>
      </x:c>
      <x:c r="P25" s="30" t="str">
        <x:v>申请书、盖章及提交方式待核</x:v>
      </x:c>
      <x:c r="Q25" s="30" t="str">
        <x:v>https://www.nuc.edu.cn/info/1014/62593.htm</x:v>
      </x:c>
      <x:c r="R25" s="30" t="str"/>
      <x:c r="S25" s="30" t="str">
        <x:v>仅继承来源信息/待核</x:v>
      </x:c>
      <x:c r="T25" s="30" t="str">
        <x:v>缺逐附件完成证据/不适用</x:v>
      </x:c>
      <x:c r="U25" s="30" t="str">
        <x:v>2026-10-08（资料核对；并非所有项目重新官网复核）</x:v>
      </x:c>
      <x:c r="V25" s="30" t="str">
        <x:v>查资格/联系实验室合作者</x:v>
      </x:c>
      <x:c r="W25" s="30" t="str">
        <x:v>申请资格待核</x:v>
      </x:c>
      <x:c r="X25" s="30" t="str">
        <x:v>共有基线v0.8</x:v>
      </x:c>
      <x:c r="Y25" s="30" t="str">
        <x:v>v0.8:M107</x:v>
      </x:c>
      <x:c r="Z25" s="30" t="str">
        <x:v>原编号保留</x:v>
      </x:c>
    </x:row>
    <x:row r="26" ht="36" customHeight="1">
      <x:c r="A26" s="30" t="str">
        <x:v>M141</x:v>
      </x:c>
      <x:c r="B26" s="30" t="str">
        <x:v>开放基金/课题候选</x:v>
      </x:c>
      <x:c r="C26" s="30" t="str">
        <x:v>中国科学院半导体研究所</x:v>
      </x:c>
      <x:c r="D26" s="30" t="str">
        <x:v>光电子材料与器件全国重点实验室</x:v>
      </x:c>
      <x:c r="E26" s="30" t="str">
        <x:v>2026-10-12</x:v>
      </x:c>
      <x:c r="F26" s="30" t="str">
        <x:v>日期未过·资格待核</x:v>
      </x:c>
      <x:c r="G26" s="30" t="str">
        <x:v>低</x:v>
      </x:c>
      <x:c r="H26" s="30" t="str">
        <x:v>匹配研究方向：光电子材料、光电融合智能芯片系统；现有机器人申请书不直接契合</x:v>
      </x:c>
      <x:c r="I26" s="30" t="str">
        <x:v>与面上项目科学内容匹配程度依方向摘要判断；正式选题须核指南</x:v>
      </x:c>
      <x:c r="J26" s="30" t="str">
        <x:v>未记录／待核</x:v>
      </x:c>
      <x:c r="K26" s="30" t="str">
        <x:v>申请资格待核</x:v>
      </x:c>
      <x:c r="L26" s="30" t="str">
        <x:v>固定成员合作要求待核</x:v>
      </x:c>
      <x:c r="M26" s="30" t="str">
        <x:v>是否外拨待核</x:v>
      </x:c>
      <x:c r="N26" s="30" t="str">
        <x:v>研究周期待核</x:v>
      </x:c>
      <x:c r="O26" s="30" t="str">
        <x:v>成果与署名规则待核</x:v>
      </x:c>
      <x:c r="P26" s="30" t="str">
        <x:v>申请书、盖章及提交方式待核</x:v>
      </x:c>
      <x:c r="Q26" s="30" t="str">
        <x:v>https://www.semi.ac.cn/tzgg/202609/t20260917_8284106.html</x:v>
      </x:c>
      <x:c r="R26" s="30" t="str"/>
      <x:c r="S26" s="30" t="str">
        <x:v>仅继承来源信息/待核</x:v>
      </x:c>
      <x:c r="T26" s="30" t="str">
        <x:v>缺逐附件完成证据/不适用</x:v>
      </x:c>
      <x:c r="U26" s="30" t="str">
        <x:v>2026-10-08（资料核对；并非所有项目重新官网复核）</x:v>
      </x:c>
      <x:c r="V26" s="30" t="str">
        <x:v>查资格/联系实验室合作者</x:v>
      </x:c>
      <x:c r="W26" s="30" t="str">
        <x:v>申请资格待核</x:v>
      </x:c>
      <x:c r="X26" s="30" t="str">
        <x:v>共有基线v0.8</x:v>
      </x:c>
      <x:c r="Y26" s="30" t="str">
        <x:v>v0.8:M141</x:v>
      </x:c>
      <x:c r="Z26" s="30" t="str">
        <x:v>原编号保留</x:v>
      </x:c>
    </x:row>
    <x:row r="27" ht="36" customHeight="1">
      <x:c r="A27" s="30" t="str">
        <x:v>M113</x:v>
      </x:c>
      <x:c r="B27" s="30" t="str">
        <x:v>开放基金/课题候选</x:v>
      </x:c>
      <x:c r="C27" s="30" t="str">
        <x:v>江汉大学</x:v>
      </x:c>
      <x:c r="D27" s="30" t="str">
        <x:v>认知与情感障碍湖北省重点实验室</x:v>
      </x:c>
      <x:c r="E27" s="30" t="str">
        <x:v>2026-10-15</x:v>
      </x:c>
      <x:c r="F27" s="30" t="str">
        <x:v>日期未过·资格待核</x:v>
      </x:c>
      <x:c r="G27" s="30" t="str">
        <x:v>低</x:v>
      </x:c>
      <x:c r="H27" s="30" t="str">
        <x:v>多模态认知评估、疾病诊疗；现有超声机器人课题对象差异大</x:v>
      </x:c>
      <x:c r="I27" s="30" t="str">
        <x:v>与面上项目科学内容匹配程度依方向摘要判断；正式选题须核指南</x:v>
      </x:c>
      <x:c r="J27" s="30" t="str">
        <x:v>未记录／待核</x:v>
      </x:c>
      <x:c r="K27" s="30" t="str">
        <x:v>申请资格待核</x:v>
      </x:c>
      <x:c r="L27" s="30" t="str">
        <x:v>固定成员合作要求待核</x:v>
      </x:c>
      <x:c r="M27" s="30" t="str">
        <x:v>是否外拨待核</x:v>
      </x:c>
      <x:c r="N27" s="30" t="str">
        <x:v>研究周期待核</x:v>
      </x:c>
      <x:c r="O27" s="30" t="str">
        <x:v>成果与署名规则待核</x:v>
      </x:c>
      <x:c r="P27" s="30" t="str">
        <x:v>申请书、盖章及提交方式待核</x:v>
      </x:c>
      <x:c r="Q27" s="30" t="str">
        <x:v>https://jdcad.jhun.edu.cn/8e/7b/c7392a233083/page.htm</x:v>
      </x:c>
      <x:c r="R27" s="30" t="str"/>
      <x:c r="S27" s="30" t="str">
        <x:v>仅继承来源信息/待核</x:v>
      </x:c>
      <x:c r="T27" s="30" t="str">
        <x:v>缺逐附件完成证据/不适用</x:v>
      </x:c>
      <x:c r="U27" s="30" t="str">
        <x:v>2026-10-08（资料核对；并非所有项目重新官网复核）</x:v>
      </x:c>
      <x:c r="V27" s="30" t="str">
        <x:v>查资格/联系实验室合作者</x:v>
      </x:c>
      <x:c r="W27" s="30" t="str">
        <x:v>申请资格待核</x:v>
      </x:c>
      <x:c r="X27" s="30" t="str">
        <x:v>共有基线v0.8</x:v>
      </x:c>
      <x:c r="Y27" s="30" t="str">
        <x:v>v0.8:M113</x:v>
      </x:c>
      <x:c r="Z27" s="30" t="str">
        <x:v>原编号保留</x:v>
      </x:c>
    </x:row>
    <x:row r="28" ht="36" customHeight="1">
      <x:c r="A28" s="30" t="str">
        <x:v>M142</x:v>
      </x:c>
      <x:c r="B28" s="30" t="str">
        <x:v>开放基金/课题候选</x:v>
      </x:c>
      <x:c r="C28" s="30" t="str">
        <x:v>浙江理工大学</x:v>
      </x:c>
      <x:c r="D28" s="30" t="str">
        <x:v>教育部绿色纺织国际合作联合实验室（2027年度）</x:v>
      </x:c>
      <x:c r="E28" s="30" t="str">
        <x:v>2026-10-15</x:v>
      </x:c>
      <x:c r="F28" s="30" t="str">
        <x:v>日期未过·资格待核</x:v>
      </x:c>
      <x:c r="G28" s="30" t="str">
        <x:v>低</x:v>
      </x:c>
      <x:c r="H28" s="30" t="str">
        <x:v>纺织具身智能、机器视觉及纺织工控；纺织场景限定</x:v>
      </x:c>
      <x:c r="I28" s="30" t="str">
        <x:v>与面上项目科学内容匹配程度依方向摘要判断；正式选题须核指南</x:v>
      </x:c>
      <x:c r="J28" s="30" t="str">
        <x:v>1–2万元/项</x:v>
      </x:c>
      <x:c r="K28" s="30" t="str">
        <x:v>校外人员为第一申请人，博士/高级职称或2位正高推荐</x:v>
      </x:c>
      <x:c r="L28" s="30" t="str">
        <x:v>项目组至少一位实验室成员</x:v>
      </x:c>
      <x:c r="M28" s="30" t="str">
        <x:v>经费实验室统一管理，校内成员按票报销</x:v>
      </x:c>
      <x:c r="N28" s="30" t="str">
        <x:v>通常1年</x:v>
      </x:c>
      <x:c r="O28" s="30" t="str">
        <x:v>EI及以上论文≥1篇；论文第一单位实验室</x:v>
      </x:c>
      <x:c r="P28" s="30" t="str">
        <x:v>10月15日前申请书2份邮寄+电子版lixianglong@zstu.edu.cn</x:v>
      </x:c>
      <x:c r="Q28" s="30" t="str">
        <x:v>https://cmt.zstu.edu.cn/info/1085/5683.htm</x:v>
      </x:c>
      <x:c r="R28" s="30" t="str"/>
      <x:c r="S28" s="30" t="str">
        <x:v>本轮已核官方公告正文</x:v>
      </x:c>
      <x:c r="T28" s="30" t="str">
        <x:v>缺逐附件完成证据/不适用</x:v>
      </x:c>
      <x:c r="U28" s="30" t="str">
        <x:v>2026-10-08（资料核对；并非所有项目重新官网复核）</x:v>
      </x:c>
      <x:c r="V28" s="30" t="str">
        <x:v>查资格/联系实验室合作者</x:v>
      </x:c>
      <x:c r="W28" s="30" t="str">
        <x:v>申请资格待核</x:v>
      </x:c>
      <x:c r="X28" s="30" t="str">
        <x:v>共有基线v0.8</x:v>
      </x:c>
      <x:c r="Y28" s="30" t="str">
        <x:v>v0.8:M142</x:v>
      </x:c>
      <x:c r="Z28" s="30" t="str">
        <x:v>原编号保留</x:v>
      </x:c>
    </x:row>
    <x:row r="29" ht="36" customHeight="1">
      <x:c r="A29" s="30" t="str">
        <x:v>M191</x:v>
      </x:c>
      <x:c r="B29" s="30" t="str">
        <x:v>开放基金/课题候选</x:v>
      </x:c>
      <x:c r="C29" s="30" t="str">
        <x:v>国家科技信息资源综合利用与公共服务中心</x:v>
      </x:c>
      <x:c r="D29" s="30" t="str">
        <x:v>STI数字医疗实验室</x:v>
      </x:c>
      <x:c r="E29" s="30" t="str">
        <x:v>2026-10-16</x:v>
      </x:c>
      <x:c r="F29" s="30" t="str">
        <x:v>日期未过·资格待核</x:v>
      </x:c>
      <x:c r="G29" s="30" t="str">
        <x:v>低</x:v>
      </x:c>
      <x:c r="H29" s="30" t="str">
        <x:v>医疗健康干预、真实世界临床研究、预后预测、疾病数字化管理；与超声机器人控制应用场景仅间接相关</x:v>
      </x:c>
      <x:c r="I29" s="30" t="str">
        <x:v>与面上项目科学内容匹配程度依方向摘要判断；正式选题须核指南</x:v>
      </x:c>
      <x:c r="J29" s="30" t="str">
        <x:v>原则上≤10万元/项</x:v>
      </x:c>
      <x:c r="K29" s="30" t="str">
        <x:v>境内独立法人高校/医院/科研院所，PI博士或副高，须主持过同类科研项目</x:v>
      </x:c>
      <x:c r="L29" s="30" t="str">
        <x:v>允许境内机构联合申报；临床数据、科研伦理与人遗合规按课题核实</x:v>
      </x:c>
      <x:c r="M29" s="30" t="str">
        <x:v>经费拨付和使用条款待核正式管理要求</x:v>
      </x:c>
      <x:c r="N29" s="30" t="str">
        <x:v>预计2026年12月初发出立项通知；执行周期待核</x:v>
      </x:c>
      <x:c r="O29" s="30" t="str">
        <x:v>研究报告/模型/方案；重点项目要求发表论文，依申报方向</x:v>
      </x:c>
      <x:c r="P29" s="30" t="str">
        <x:v>2026-10-16 18:00截止；负责人签字、单位盖章申请书扫描件发stilab@stilab.ac.cn</x:v>
      </x:c>
      <x:c r="Q29" s="30" t="str">
        <x:v>https://www.stilab.ac.cn/newsDetail/f531f8734c554261a6e2a09a14099df1.html</x:v>
      </x:c>
      <x:c r="R29" s="30" t="str"/>
      <x:c r="S29" s="30" t="str">
        <x:v>本轮已核官网2026第二批公告正文；附件全文未复核</x:v>
      </x:c>
      <x:c r="T29" s="30" t="str">
        <x:v>缺逐附件完成证据/不适用</x:v>
      </x:c>
      <x:c r="U29" s="30" t="str">
        <x:v>2026-10-08（资料核对；并非所有项目重新官网复核）</x:v>
      </x:c>
      <x:c r="V29" s="30" t="str">
        <x:v>查资格/联系实验室合作者</x:v>
      </x:c>
      <x:c r="W29" s="30" t="str">
        <x:v>公开截止日未过/可申请资格需确认</x:v>
      </x:c>
      <x:c r="X29" s="30" t="str">
        <x:v>筛选对话 v1.0</x:v>
      </x:c>
      <x:c r="Y29" s="30" t="str">
        <x:v>筛选对话v1.0:M186</x:v>
      </x:c>
      <x:c r="Z29" s="30" t="str">
        <x:v>重编号为M191，消除编号冲突</x:v>
      </x:c>
    </x:row>
    <x:row r="30" ht="36" customHeight="1">
      <x:c r="A30" s="30" t="str">
        <x:v>M193</x:v>
      </x:c>
      <x:c r="B30" s="30" t="str">
        <x:v>开放基金/课题候选</x:v>
      </x:c>
      <x:c r="C30" s="30" t="str">
        <x:v>中北大学</x:v>
      </x:c>
      <x:c r="D30" s="30" t="str">
        <x:v>极限环境光电动态测试技术与仪器全国重点实验室</x:v>
      </x:c>
      <x:c r="E30" s="30" t="str">
        <x:v>2026-10-16</x:v>
      </x:c>
      <x:c r="F30" s="30" t="str">
        <x:v>日期未过·资格待核</x:v>
      </x:c>
      <x:c r="G30" s="30" t="str">
        <x:v>低</x:v>
      </x:c>
      <x:c r="H30" s="30" t="str">
        <x:v>高端光电动态测试与仪器；超声机器人拟申请书匹配较低，属全国广搜补漏</x:v>
      </x:c>
      <x:c r="I30" s="30" t="str">
        <x:v>与面上项目科学内容匹配程度依方向摘要判断；正式选题须核指南</x:v>
      </x:c>
      <x:c r="J30" s="30" t="str">
        <x:v>未记录／待核</x:v>
      </x:c>
      <x:c r="K30" s="30" t="str">
        <x:v>成果和署名要求严格；以官方指南为准</x:v>
      </x:c>
      <x:c r="L30" s="30" t="str">
        <x:v>固定成员合作要求待核</x:v>
      </x:c>
      <x:c r="M30" s="30" t="str">
        <x:v>是否外拨待核</x:v>
      </x:c>
      <x:c r="N30" s="30" t="str">
        <x:v>研究周期待核</x:v>
      </x:c>
      <x:c r="O30" s="30" t="str">
        <x:v>成果与署名规则待核</x:v>
      </x:c>
      <x:c r="P30" s="30" t="str">
        <x:v>申请书、盖章及提交方式待核</x:v>
      </x:c>
      <x:c r="Q30" s="30" t="str">
        <x:v>https://skl-dmt.nuc.edu.cn/info/1012/1894.htm</x:v>
      </x:c>
      <x:c r="R30" s="30" t="str"/>
      <x:c r="S30" s="30" t="str">
        <x:v>仅继承来源信息/待核</x:v>
      </x:c>
      <x:c r="T30" s="30" t="str">
        <x:v>缺逐附件完成证据/不适用</x:v>
      </x:c>
      <x:c r="U30" s="30" t="str">
        <x:v>2026-10-08（资料核对；并非所有项目重新官网复核）</x:v>
      </x:c>
      <x:c r="V30" s="30" t="str">
        <x:v>查资格/联系实验室合作者</x:v>
      </x:c>
      <x:c r="W30" s="30" t="str">
        <x:v>成果和署名要求严格；以官方指南为准</x:v>
      </x:c>
      <x:c r="X30" s="30" t="str">
        <x:v>筛选对话 v1.0</x:v>
      </x:c>
      <x:c r="Y30" s="30" t="str">
        <x:v>筛选对话v1.0:M188</x:v>
      </x:c>
      <x:c r="Z30" s="30" t="str">
        <x:v>重编号为M193，消除编号冲突</x:v>
      </x:c>
    </x:row>
    <x:row r="31" ht="36" customHeight="1">
      <x:c r="A31" s="30" t="str">
        <x:v>M013</x:v>
      </x:c>
      <x:c r="B31" s="30" t="str">
        <x:v>开放基金/课题候选</x:v>
      </x:c>
      <x:c r="C31" s="30" t="str">
        <x:v>北京交通大学</x:v>
      </x:c>
      <x:c r="D31" s="30" t="str">
        <x:v>先进轨道交通自主运行全国重点实验室</x:v>
      </x:c>
      <x:c r="E31" s="30" t="str">
        <x:v>2026-10-20</x:v>
      </x:c>
      <x:c r="F31" s="30" t="str">
        <x:v>日期未过·资格待核</x:v>
      </x:c>
      <x:c r="G31" s="30" t="str">
        <x:v>低</x:v>
      </x:c>
      <x:c r="H31" s="30" t="str">
        <x:v>轨交自主运行、协同控制、具身智能；轨道交通应用限定</x:v>
      </x:c>
      <x:c r="I31" s="30" t="str">
        <x:v>原医学超声应用场景与轨交不匹配</x:v>
      </x:c>
      <x:c r="J31" s="30" t="str">
        <x:v>4–10万元/项</x:v>
      </x:c>
      <x:c r="K31" s="30" t="str">
        <x:v>副教授以上职称且博士学位（官网表述为和）</x:v>
      </x:c>
      <x:c r="L31" s="30" t="str">
        <x:v>获批后实验室配合作者；负责人需到室客座交流</x:v>
      </x:c>
      <x:c r="M31" s="30" t="str">
        <x:v>是否外拨待核</x:v>
      </x:c>
      <x:c r="N31" s="30" t="str">
        <x:v>研究周期待核</x:v>
      </x:c>
      <x:c r="O31" s="30" t="str">
        <x:v>SCI三区及以上论文1–2篇（首年投稿1篇），或联合白皮书1部</x:v>
      </x:c>
      <x:c r="P31" s="30" t="str">
        <x:v>Word电子版+纸质申请书2份、盖章，10月20日前提交</x:v>
      </x:c>
      <x:c r="Q31" s="30" t="str">
        <x:v>https://raolab.bjtu.edu.cn/news/3521.html</x:v>
      </x:c>
      <x:c r="R31" s="30" t="str">
        <x:v>https://raolab.bjtu.edu.cn/news/3521.html</x:v>
      </x:c>
      <x:c r="S31" s="30" t="str">
        <x:v>本轮已核官方公告正文；管理办法/附件未核</x:v>
      </x:c>
      <x:c r="T31" s="30" t="str">
        <x:v>缺逐附件完成证据/不适用</x:v>
      </x:c>
      <x:c r="U31" s="30" t="str">
        <x:v>2026-10-08（资料核对；并非所有项目重新官网复核）</x:v>
      </x:c>
      <x:c r="V31" s="30" t="str">
        <x:v>查资格/联系实验室合作者</x:v>
      </x:c>
      <x:c r="W31" s="30" t="str">
        <x:v>轨道交通场景</x:v>
      </x:c>
      <x:c r="X31" s="30" t="str">
        <x:v>共有基线v0.8</x:v>
      </x:c>
      <x:c r="Y31" s="30" t="str">
        <x:v>v0.8:M013</x:v>
      </x:c>
      <x:c r="Z31" s="30" t="str">
        <x:v>原编号保留</x:v>
      </x:c>
    </x:row>
    <x:row r="32" ht="36" customHeight="1">
      <x:c r="A32" s="30" t="str">
        <x:v>M015</x:v>
      </x:c>
      <x:c r="B32" s="30" t="str">
        <x:v>开放基金/课题候选</x:v>
      </x:c>
      <x:c r="C32" s="30" t="str">
        <x:v>北京航空航天大学</x:v>
      </x:c>
      <x:c r="D32" s="30" t="str">
        <x:v>空地一体新航行系统技术全国重点实验室</x:v>
      </x:c>
      <x:c r="E32" s="30" t="str">
        <x:v>2026-10-20</x:v>
      </x:c>
      <x:c r="F32" s="30" t="str">
        <x:v>日期未过·资格待核</x:v>
      </x:c>
      <x:c r="G32" s="30" t="str">
        <x:v>低</x:v>
      </x:c>
      <x:c r="H32" s="30" t="str">
        <x:v>自主规划；智能感知；安全控制</x:v>
      </x:c>
      <x:c r="I32" s="30" t="str">
        <x:v>与面上项目科学内容匹配程度依方向摘要判断；正式选题须核指南</x:v>
      </x:c>
      <x:c r="J32" s="30" t="str">
        <x:v>未记录／待核</x:v>
      </x:c>
      <x:c r="K32" s="30" t="str">
        <x:v>航空场景受限</x:v>
      </x:c>
      <x:c r="L32" s="30" t="str">
        <x:v>固定成员合作要求待核</x:v>
      </x:c>
      <x:c r="M32" s="30" t="str">
        <x:v>是否外拨待核</x:v>
      </x:c>
      <x:c r="N32" s="30" t="str">
        <x:v>研究周期待核</x:v>
      </x:c>
      <x:c r="O32" s="30" t="str">
        <x:v>成果与署名规则待核</x:v>
      </x:c>
      <x:c r="P32" s="30" t="str">
        <x:v>申请书、盖章及提交方式待核</x:v>
      </x:c>
      <x:c r="Q32" s="30" t="str">
        <x:v>https://www.ee.buaa.edu.cn/info/1061/20843.htm</x:v>
      </x:c>
      <x:c r="R32" s="30" t="str">
        <x:v>https://www.ee.buaa.edu.cn/info/1061/20843.htm</x:v>
      </x:c>
      <x:c r="S32" s="30" t="str">
        <x:v>来源档案写明核过官网</x:v>
      </x:c>
      <x:c r="T32" s="30" t="str">
        <x:v>缺逐附件完成证据/不适用</x:v>
      </x:c>
      <x:c r="U32" s="30" t="str">
        <x:v>2026-10-08（资料核对；并非所有项目重新官网复核）</x:v>
      </x:c>
      <x:c r="V32" s="30" t="str">
        <x:v>查资格/联系实验室合作者</x:v>
      </x:c>
      <x:c r="W32" s="30" t="str">
        <x:v>航空场景受限</x:v>
      </x:c>
      <x:c r="X32" s="30" t="str">
        <x:v>共有基线v0.8</x:v>
      </x:c>
      <x:c r="Y32" s="30" t="str">
        <x:v>v0.8:M015；共享基线M159（同批次别名）</x:v>
      </x:c>
      <x:c r="Z32" s="30" t="str">
        <x:v>原编号保留；M159同批次合并至本项</x:v>
      </x:c>
    </x:row>
    <x:row r="33" ht="36" customHeight="1">
      <x:c r="A33" s="30" t="str">
        <x:v>M158</x:v>
      </x:c>
      <x:c r="B33" s="30" t="str">
        <x:v>开放基金/课题候选</x:v>
      </x:c>
      <x:c r="C33" s="30" t="str">
        <x:v>华东师范大学</x:v>
      </x:c>
      <x:c r="D33" s="30" t="str">
        <x:v>自然资源部超大城市自然资源时空大数据分析应用重点实验室</x:v>
      </x:c>
      <x:c r="E33" s="30" t="str">
        <x:v>2026-10-20</x:v>
      </x:c>
      <x:c r="F33" s="30" t="str">
        <x:v>日期未过·资格待核</x:v>
      </x:c>
      <x:c r="G33" s="30" t="str">
        <x:v>低</x:v>
      </x:c>
      <x:c r="H33" s="30" t="str">
        <x:v>时空数据、三维地理空间分析、大数据；与体表扫描/机器人控制实际研究对象不同</x:v>
      </x:c>
      <x:c r="I33" s="30" t="str">
        <x:v>与面上项目科学内容匹配程度依方向摘要判断；正式选题须核指南</x:v>
      </x:c>
      <x:c r="J33" s="30" t="str">
        <x:v>3—5万元</x:v>
      </x:c>
      <x:c r="K33" s="30" t="str">
        <x:v>博士或高级职称；约3—5万元；邮寄三份盖章纸质件且发送电子版；以邮戳时间为准</x:v>
      </x:c>
      <x:c r="L33" s="30" t="str">
        <x:v>固定成员合作要求待核</x:v>
      </x:c>
      <x:c r="M33" s="30" t="str">
        <x:v>是否外拨待核</x:v>
      </x:c>
      <x:c r="N33" s="30" t="str">
        <x:v>研究周期待核</x:v>
      </x:c>
      <x:c r="O33" s="30" t="str">
        <x:v>成果与署名规则待核</x:v>
      </x:c>
      <x:c r="P33" s="30" t="str">
        <x:v>申请书、盖章及提交方式待核</x:v>
      </x:c>
      <x:c r="Q33" s="30" t="str">
        <x:v>https://bigdata.ecnu.edu.cn/ee/2e/c43524a781870/page.htm</x:v>
      </x:c>
      <x:c r="R33" s="30" t="str"/>
      <x:c r="S33" s="30" t="str">
        <x:v>仅继承来源信息/待核</x:v>
      </x:c>
      <x:c r="T33" s="30" t="str">
        <x:v>缺逐附件完成证据/不适用</x:v>
      </x:c>
      <x:c r="U33" s="30" t="str">
        <x:v>2026-10-08（资料核对；并非所有项目重新官网复核）</x:v>
      </x:c>
      <x:c r="V33" s="30" t="str">
        <x:v>查资格/联系实验室合作者</x:v>
      </x:c>
      <x:c r="W33" s="30" t="str">
        <x:v>博士或高级职称；约3—5万元；邮寄三份盖章纸质件且发送电子版；以邮戳时间为准</x:v>
      </x:c>
      <x:c r="X33" s="30" t="str">
        <x:v>共有基线v0.8</x:v>
      </x:c>
      <x:c r="Y33" s="30" t="str">
        <x:v>v0.8:M158</x:v>
      </x:c>
      <x:c r="Z33" s="30" t="str">
        <x:v>原编号保留</x:v>
      </x:c>
    </x:row>
    <x:row r="34" ht="36" customHeight="1">
      <x:c r="A34" s="30" t="str">
        <x:v>M143</x:v>
      </x:c>
      <x:c r="B34" s="30" t="str">
        <x:v>开放基金/课题候选</x:v>
      </x:c>
      <x:c r="C34" s="30" t="str">
        <x:v>同济大学</x:v>
      </x:c>
      <x:c r="D34" s="30" t="str">
        <x:v>土木工程防灾减灾全国重点实验室</x:v>
      </x:c>
      <x:c r="E34" s="30" t="str">
        <x:v>2026-10-25</x:v>
      </x:c>
      <x:c r="F34" s="30" t="str">
        <x:v>日期未过·资格待核</x:v>
      </x:c>
      <x:c r="G34" s="30" t="str">
        <x:v>低</x:v>
      </x:c>
      <x:c r="H34" s="30" t="str">
        <x:v>匹配研究方向：多源信息感知、结构力学建模、智能控制；指南具体课题均限定土木防灾</x:v>
      </x:c>
      <x:c r="I34" s="30" t="str">
        <x:v>与面上项目科学内容匹配程度依方向摘要判断；正式选题须核指南</x:v>
      </x:c>
      <x:c r="J34" s="30" t="str">
        <x:v>经费25~30万元，2027-2029年（历史记录）</x:v>
      </x:c>
      <x:c r="K34" s="30" t="str">
        <x:v>申请资格待核</x:v>
      </x:c>
      <x:c r="L34" s="30" t="str">
        <x:v>固定成员合作要求待核</x:v>
      </x:c>
      <x:c r="M34" s="30" t="str">
        <x:v>是否外拨待核</x:v>
      </x:c>
      <x:c r="N34" s="30" t="str">
        <x:v>研究周期待核</x:v>
      </x:c>
      <x:c r="O34" s="30" t="str">
        <x:v>成果与署名规则待核</x:v>
      </x:c>
      <x:c r="P34" s="30" t="str">
        <x:v>申请书、盖章及提交方式待核</x:v>
      </x:c>
      <x:c r="Q34" s="30" t="str">
        <x:v>https://sldrce.tongji.edu.cn/d6/b7/c33242a382647/page.htm</x:v>
      </x:c>
      <x:c r="R34" s="30" t="str"/>
      <x:c r="S34" s="30" t="str">
        <x:v>仅继承来源信息/待核</x:v>
      </x:c>
      <x:c r="T34" s="30" t="str">
        <x:v>缺逐附件完成证据/不适用</x:v>
      </x:c>
      <x:c r="U34" s="30" t="str">
        <x:v>2026-10-08（资料核对；并非所有项目重新官网复核）</x:v>
      </x:c>
      <x:c r="V34" s="30" t="str">
        <x:v>查资格/联系实验室合作者</x:v>
      </x:c>
      <x:c r="W34" s="30" t="str">
        <x:v>申请资格待核</x:v>
      </x:c>
      <x:c r="X34" s="30" t="str">
        <x:v>共有基线v0.8</x:v>
      </x:c>
      <x:c r="Y34" s="30" t="str">
        <x:v>v0.8:M143</x:v>
      </x:c>
      <x:c r="Z34" s="30" t="str">
        <x:v>原编号保留</x:v>
      </x:c>
    </x:row>
    <x:row r="35" ht="36" customHeight="1">
      <x:c r="A35" s="30" t="str">
        <x:v>M144</x:v>
      </x:c>
      <x:c r="B35" s="30" t="str">
        <x:v>开放基金/课题候选</x:v>
      </x:c>
      <x:c r="C35" s="30" t="str">
        <x:v>烟台大学</x:v>
      </x:c>
      <x:c r="D35" s="30" t="str">
        <x:v>山东省先进结构材料基因工程重点实验室</x:v>
      </x:c>
      <x:c r="E35" s="30" t="str">
        <x:v>2026-10-25</x:v>
      </x:c>
      <x:c r="F35" s="30" t="str">
        <x:v>日期未过·资格待核</x:v>
      </x:c>
      <x:c r="G35" s="30" t="str">
        <x:v>低</x:v>
      </x:c>
      <x:c r="H35" s="30" t="str">
        <x:v>匹配研究方向：多尺度有限元模拟、数据-机理融合、机器学习优化；必须面向先进结构材料</x:v>
      </x:c>
      <x:c r="I35" s="30" t="str">
        <x:v>与面上项目科学内容匹配程度依方向摘要判断；正式选题须核指南</x:v>
      </x:c>
      <x:c r="J35" s="30" t="str">
        <x:v>未记录／待核</x:v>
      </x:c>
      <x:c r="K35" s="30" t="str">
        <x:v>申请资格待核</x:v>
      </x:c>
      <x:c r="L35" s="30" t="str">
        <x:v>固定成员合作要求待核</x:v>
      </x:c>
      <x:c r="M35" s="30" t="str">
        <x:v>是否外拨待核</x:v>
      </x:c>
      <x:c r="N35" s="30" t="str">
        <x:v>研究周期待核</x:v>
      </x:c>
      <x:c r="O35" s="30" t="str">
        <x:v>成果与署名规则待核</x:v>
      </x:c>
      <x:c r="P35" s="30" t="str">
        <x:v>申请书、盖章及提交方式待核</x:v>
      </x:c>
      <x:c r="Q35" s="30" t="str">
        <x:v>https://iaspm.ytu.edu.cn/info/1022/1653.htm</x:v>
      </x:c>
      <x:c r="R35" s="30" t="str"/>
      <x:c r="S35" s="30" t="str">
        <x:v>仅继承来源信息/待核</x:v>
      </x:c>
      <x:c r="T35" s="30" t="str">
        <x:v>缺逐附件完成证据/不适用</x:v>
      </x:c>
      <x:c r="U35" s="30" t="str">
        <x:v>2026-10-08（资料核对；并非所有项目重新官网复核）</x:v>
      </x:c>
      <x:c r="V35" s="30" t="str">
        <x:v>查资格/联系实验室合作者</x:v>
      </x:c>
      <x:c r="W35" s="30" t="str">
        <x:v>申请资格待核</x:v>
      </x:c>
      <x:c r="X35" s="30" t="str">
        <x:v>共有基线v0.8</x:v>
      </x:c>
      <x:c r="Y35" s="30" t="str">
        <x:v>v0.8:M144</x:v>
      </x:c>
      <x:c r="Z35" s="30" t="str">
        <x:v>原编号保留</x:v>
      </x:c>
    </x:row>
    <x:row r="36" ht="36" customHeight="1">
      <x:c r="A36" s="30" t="str">
        <x:v>M105</x:v>
      </x:c>
      <x:c r="B36" s="30" t="str">
        <x:v>开放基金/课题候选</x:v>
      </x:c>
      <x:c r="C36" s="30" t="str">
        <x:v>西南交通大学</x:v>
      </x:c>
      <x:c r="D36" s="30" t="str">
        <x:v>轨道交通运载系统全国重点实验室</x:v>
      </x:c>
      <x:c r="E36" s="30" t="str">
        <x:v>2026-10-26</x:v>
      </x:c>
      <x:c r="F36" s="30" t="str">
        <x:v>日期未过·资格待核</x:v>
      </x:c>
      <x:c r="G36" s="30" t="str">
        <x:v>低</x:v>
      </x:c>
      <x:c r="H36" s="30" t="str">
        <x:v>动力学控制、具身智能运维；必须聚焦轨道交通运载系统</x:v>
      </x:c>
      <x:c r="I36" s="30" t="str">
        <x:v>与面上项目科学内容匹配程度依方向摘要判断；正式选题须核指南</x:v>
      </x:c>
      <x:c r="J36" s="30" t="str">
        <x:v>8–10万元/项</x:v>
      </x:c>
      <x:c r="K36" s="30" t="str">
        <x:v>校外负责人联合实验室固定研究人员；其他限制详见申请书</x:v>
      </x:c>
      <x:c r="L36" s="30" t="str">
        <x:v>须与固定人员商定任务/分工；研究期到室交流≥1次</x:v>
      </x:c>
      <x:c r="M36" s="30" t="str">
        <x:v>是否外拨待核</x:v>
      </x:c>
      <x:c r="N36" s="30" t="str">
        <x:v>2027-01-01—2028-12-31</x:v>
      </x:c>
      <x:c r="O36" s="30" t="str">
        <x:v>负责人第一/通讯作者高水平论文≥2篇；论文第一单位须实验室</x:v>
      </x:c>
      <x:c r="P36" s="30" t="str">
        <x:v>10月26日前：纸质申请书2份邮寄+电子邮件qybgky@swjtu.edu.cn</x:v>
      </x:c>
      <x:c r="Q36" s="30" t="str">
        <x:v>https://rvl.swjtu.edu.cn/info/1030/20948.htm</x:v>
      </x:c>
      <x:c r="R36" s="30" t="str"/>
      <x:c r="S36" s="30" t="str">
        <x:v>本轮已核正式2027年度申报指南正文</x:v>
      </x:c>
      <x:c r="T36" s="30" t="str">
        <x:v>缺逐附件完成证据/不适用</x:v>
      </x:c>
      <x:c r="U36" s="30" t="str">
        <x:v>2026-10-08（资料核对；并非所有项目重新官网复核）</x:v>
      </x:c>
      <x:c r="V36" s="30" t="str">
        <x:v>查资格/联系实验室合作者</x:v>
      </x:c>
      <x:c r="W36" s="30" t="str">
        <x:v>申请资格待核</x:v>
      </x:c>
      <x:c r="X36" s="30" t="str">
        <x:v>共有基线v0.8</x:v>
      </x:c>
      <x:c r="Y36" s="30" t="str">
        <x:v>v0.8:M105</x:v>
      </x:c>
      <x:c r="Z36" s="30" t="str">
        <x:v>原编号保留</x:v>
      </x:c>
    </x:row>
    <x:row r="37" ht="36" customHeight="1">
      <x:c r="A37" s="30" t="str">
        <x:v>M145</x:v>
      </x:c>
      <x:c r="B37" s="30" t="str">
        <x:v>开放基金/课题候选</x:v>
      </x:c>
      <x:c r="C37" s="30" t="str">
        <x:v>西南石油大学</x:v>
      </x:c>
      <x:c r="D37" s="30" t="str">
        <x:v>影像资料智能处理及融合应用技术四川省文化和旅游厅重点实验室</x:v>
      </x:c>
      <x:c r="E37" s="30" t="str">
        <x:v>2026-10-30</x:v>
      </x:c>
      <x:c r="F37" s="30" t="str">
        <x:v>日期未过·资格待核</x:v>
      </x:c>
      <x:c r="G37" s="30" t="str">
        <x:v>低</x:v>
      </x:c>
      <x:c r="H37" s="30" t="str">
        <x:v>匹配研究方向：影像智能处理、多模态融合；文化与旅游资料应用领域限定</x:v>
      </x:c>
      <x:c r="I37" s="30" t="str">
        <x:v>与面上项目科学内容匹配程度依方向摘要判断；正式选题须核指南</x:v>
      </x:c>
      <x:c r="J37" s="30" t="str">
        <x:v>未记录／待核</x:v>
      </x:c>
      <x:c r="K37" s="30" t="str">
        <x:v>申请资格待核</x:v>
      </x:c>
      <x:c r="L37" s="30" t="str">
        <x:v>固定成员合作要求待核</x:v>
      </x:c>
      <x:c r="M37" s="30" t="str">
        <x:v>是否外拨待核</x:v>
      </x:c>
      <x:c r="N37" s="30" t="str">
        <x:v>研究周期待核</x:v>
      </x:c>
      <x:c r="O37" s="30" t="str">
        <x:v>成果与署名规则待核</x:v>
      </x:c>
      <x:c r="P37" s="30" t="str">
        <x:v>申请书、盖章及提交方式待核</x:v>
      </x:c>
      <x:c r="Q37" s="30" t="str">
        <x:v>https://www.swpu.edu.cn/rwskc/info/1013/4556.htm</x:v>
      </x:c>
      <x:c r="R37" s="30" t="str"/>
      <x:c r="S37" s="30" t="str">
        <x:v>仅继承来源信息/待核</x:v>
      </x:c>
      <x:c r="T37" s="30" t="str">
        <x:v>缺逐附件完成证据/不适用</x:v>
      </x:c>
      <x:c r="U37" s="30" t="str">
        <x:v>2026-10-08（资料核对；并非所有项目重新官网复核）</x:v>
      </x:c>
      <x:c r="V37" s="30" t="str">
        <x:v>查资格/联系实验室合作者</x:v>
      </x:c>
      <x:c r="W37" s="30" t="str">
        <x:v>申请资格待核</x:v>
      </x:c>
      <x:c r="X37" s="30" t="str">
        <x:v>共有基线v0.8</x:v>
      </x:c>
      <x:c r="Y37" s="30" t="str">
        <x:v>v0.8:M145</x:v>
      </x:c>
      <x:c r="Z37" s="30" t="str">
        <x:v>原编号保留</x:v>
      </x:c>
    </x:row>
    <x:row r="38" ht="36" customHeight="1">
      <x:c r="A38" s="30" t="str">
        <x:v>M085</x:v>
      </x:c>
      <x:c r="B38" s="30" t="str">
        <x:v>开放基金/课题候选</x:v>
      </x:c>
      <x:c r="C38" s="30" t="str">
        <x:v>武汉理工大学</x:v>
      </x:c>
      <x:c r="D38" s="30" t="str">
        <x:v>交通物联网技术湖北省重点实验室</x:v>
      </x:c>
      <x:c r="E38" s="30" t="str">
        <x:v>2026-10-31</x:v>
      </x:c>
      <x:c r="F38" s="30" t="str">
        <x:v>日期未过·资格待核</x:v>
      </x:c>
      <x:c r="G38" s="30" t="str">
        <x:v>低</x:v>
      </x:c>
      <x:c r="H38" s="30" t="str">
        <x:v>多模态感知；智能信息处理；多源数据融合</x:v>
      </x:c>
      <x:c r="I38" s="30" t="str">
        <x:v>与面上项目科学内容匹配程度依方向摘要判断；正式选题须核指南</x:v>
      </x:c>
      <x:c r="J38" s="30" t="str">
        <x:v>未记录／待核</x:v>
      </x:c>
      <x:c r="K38" s="30" t="str">
        <x:v>交通应用约束</x:v>
      </x:c>
      <x:c r="L38" s="30" t="str">
        <x:v>固定成员合作要求待核</x:v>
      </x:c>
      <x:c r="M38" s="30" t="str">
        <x:v>是否外拨待核</x:v>
      </x:c>
      <x:c r="N38" s="30" t="str">
        <x:v>研究周期待核</x:v>
      </x:c>
      <x:c r="O38" s="30" t="str">
        <x:v>成果与署名规则待核</x:v>
      </x:c>
      <x:c r="P38" s="30" t="str">
        <x:v>申请书、盖章及提交方式待核</x:v>
      </x:c>
      <x:c r="Q38" s="30" t="str">
        <x:v>https://ai.whut.edu.cn/kxyj/kyzx/202608/t20260831_1414539.shtml</x:v>
      </x:c>
      <x:c r="R38" s="30" t="str">
        <x:v>https://ai.whut.edu.cn/kxyj/kyzx/202608/t20260831_1414539.shtml</x:v>
      </x:c>
      <x:c r="S38" s="30" t="str">
        <x:v>仅继承来源信息/待核</x:v>
      </x:c>
      <x:c r="T38" s="30" t="str">
        <x:v>缺逐附件完成证据/不适用</x:v>
      </x:c>
      <x:c r="U38" s="30" t="str">
        <x:v>2026-10-08（资料核对；并非所有项目重新官网复核）</x:v>
      </x:c>
      <x:c r="V38" s="30" t="str">
        <x:v>查资格/联系实验室合作者</x:v>
      </x:c>
      <x:c r="W38" s="30" t="str">
        <x:v>交通应用约束</x:v>
      </x:c>
      <x:c r="X38" s="30" t="str">
        <x:v>共有基线v0.8</x:v>
      </x:c>
      <x:c r="Y38" s="30" t="str">
        <x:v>v0.8:M085</x:v>
      </x:c>
      <x:c r="Z38" s="30" t="str">
        <x:v>原编号保留</x:v>
      </x:c>
    </x:row>
    <x:row r="39" ht="36" customHeight="1">
      <x:c r="A39" s="30" t="str">
        <x:v>M146</x:v>
      </x:c>
      <x:c r="B39" s="30" t="str">
        <x:v>开放基金/课题候选</x:v>
      </x:c>
      <x:c r="C39" s="30" t="str">
        <x:v>西南交通大学</x:v>
      </x:c>
      <x:c r="D39" s="30" t="str">
        <x:v>磁浮技术与磁浮列车教育部重点实验室</x:v>
      </x:c>
      <x:c r="E39" s="30" t="str">
        <x:v>2026-11-10</x:v>
      </x:c>
      <x:c r="F39" s="30" t="str">
        <x:v>日期未过·资格待核</x:v>
      </x:c>
      <x:c r="G39" s="30" t="str">
        <x:v>低</x:v>
      </x:c>
      <x:c r="H39" s="30" t="str">
        <x:v>匹配研究方向：电磁驱动、磁浮交通运行控制；机器人控制可借用方法，但场景需变更</x:v>
      </x:c>
      <x:c r="I39" s="30" t="str">
        <x:v>与面上项目科学内容匹配程度依方向摘要判断；正式选题须核指南</x:v>
      </x:c>
      <x:c r="J39" s="30" t="str">
        <x:v>重点6–8万元；一般4–5万元/项</x:v>
      </x:c>
      <x:c r="K39" s="30" t="str">
        <x:v>相关研究领域博士学位或副高及以上职称，国内外大学/研究所/企业人员</x:v>
      </x:c>
      <x:c r="L39" s="30" t="str">
        <x:v>须满足磁浮实验室项目方向，固定成员要求参照管理办法</x:v>
      </x:c>
      <x:c r="M39" s="30" t="str">
        <x:v>是否外拨待核</x:v>
      </x:c>
      <x:c r="N39" s="30" t="str">
        <x:v>获资助通知起执行2年</x:v>
      </x:c>
      <x:c r="O39" s="30" t="str">
        <x:v>经费、过程、成果要求依《磁浮技术与磁浮列车教育部重点实验室开放课题管理办法》；附件待核</x:v>
      </x:c>
      <x:c r="P39" s="30" t="str">
        <x:v>2026-11-10截止；申请书电子版邮箱23191499@qq.com，获评审通过后纸质3份加盖单位公章邮寄</x:v>
      </x:c>
      <x:c r="Q39" s="30" t="str">
        <x:v>https://jdcf.swjtu.edu.cn/info/1033/1624.htm</x:v>
      </x:c>
      <x:c r="R39" s="30" t="str"/>
      <x:c r="S39" s="30" t="str">
        <x:v>本轮已核官网2026正式公告正文；附件及管理办法全文未复核</x:v>
      </x:c>
      <x:c r="T39" s="30" t="str">
        <x:v>缺逐附件完成证据/不适用</x:v>
      </x:c>
      <x:c r="U39" s="30" t="str">
        <x:v>2026-10-08（资料核对；并非所有项目重新官网复核）</x:v>
      </x:c>
      <x:c r="V39" s="30" t="str">
        <x:v>查资格/联系实验室合作者</x:v>
      </x:c>
      <x:c r="W39" s="30" t="str">
        <x:v>申请资格待核</x:v>
      </x:c>
      <x:c r="X39" s="30" t="str">
        <x:v>共有基线v0.8</x:v>
      </x:c>
      <x:c r="Y39" s="30" t="str">
        <x:v>v0.8:M146</x:v>
      </x:c>
      <x:c r="Z39" s="30" t="str">
        <x:v>原编号保留</x:v>
      </x:c>
    </x:row>
    <x:row r="40" ht="36" customHeight="1">
      <x:c r="A40" s="30" t="str">
        <x:v>M147</x:v>
      </x:c>
      <x:c r="B40" s="30" t="str">
        <x:v>开放基金/课题候选</x:v>
      </x:c>
      <x:c r="C40" s="30" t="str">
        <x:v>中国科学院山西煤炭化学研究所</x:v>
      </x:c>
      <x:c r="D40" s="30" t="str">
        <x:v>煤炭高效低碳利用全国重点实验室（2027—2028年度）</x:v>
      </x:c>
      <x:c r="E40" s="30" t="str">
        <x:v>2026-11-10</x:v>
      </x:c>
      <x:c r="F40" s="30" t="str">
        <x:v>日期未过·资格待核</x:v>
      </x:c>
      <x:c r="G40" s="30" t="str">
        <x:v>低</x:v>
      </x:c>
      <x:c r="H40" s="30" t="str">
        <x:v>匹配研究方向：煤炭低碳利用；现有超声机器人方案无直接契合</x:v>
      </x:c>
      <x:c r="I40" s="30" t="str">
        <x:v>与面上项目科学内容匹配程度依方向摘要判断；正式选题须核指南</x:v>
      </x:c>
      <x:c r="J40" s="30" t="str">
        <x:v>8–12万元/项</x:v>
      </x:c>
      <x:c r="K40" s="30" t="str">
        <x:v>副高及以上职称；近五年主持国家级科研项目（以正式公告为准）</x:v>
      </x:c>
      <x:c r="L40" s="30" t="str">
        <x:v>需要实验室固定人员参与合作</x:v>
      </x:c>
      <x:c r="M40" s="30" t="str">
        <x:v>实验室管理使用，具体外拨与否依正式指南</x:v>
      </x:c>
      <x:c r="N40" s="30" t="str">
        <x:v>项目研究周期待核附件</x:v>
      </x:c>
      <x:c r="O40" s="30" t="str">
        <x:v>成果及署名规则待核正式附件</x:v>
      </x:c>
      <x:c r="P40" s="30" t="str">
        <x:v>2026-11-10截止；申请材料与投递要求待核正式附件</x:v>
      </x:c>
      <x:c r="Q40" s="30" t="str">
        <x:v>https://sxicc.cas.cn/tz/temp/202609/t20260924_8286738.html</x:v>
      </x:c>
      <x:c r="R40" s="30" t="str"/>
      <x:c r="S40" s="30" t="str">
        <x:v>本轮已核官网资助公告摘要；附件未逐项复核</x:v>
      </x:c>
      <x:c r="T40" s="30" t="str">
        <x:v>缺逐附件完成证据/不适用</x:v>
      </x:c>
      <x:c r="U40" s="30" t="str">
        <x:v>2026-10-08（资料核对；并非所有项目重新官网复核）</x:v>
      </x:c>
      <x:c r="V40" s="30" t="str">
        <x:v>查资格/联系实验室合作者</x:v>
      </x:c>
      <x:c r="W40" s="30" t="str">
        <x:v>申请资格待核</x:v>
      </x:c>
      <x:c r="X40" s="30" t="str">
        <x:v>共有基线v0.8</x:v>
      </x:c>
      <x:c r="Y40" s="30" t="str">
        <x:v>v0.8:M147</x:v>
      </x:c>
      <x:c r="Z40" s="30" t="str">
        <x:v>原编号保留</x:v>
      </x:c>
    </x:row>
    <x:row r="41" ht="36" customHeight="1">
      <x:c r="A41" s="30" t="str">
        <x:v>M162</x:v>
      </x:c>
      <x:c r="B41" s="30" t="str">
        <x:v>开放基金/课题候选</x:v>
      </x:c>
      <x:c r="C41" s="30" t="str">
        <x:v>同济大学</x:v>
      </x:c>
      <x:c r="D41" s="30" t="str">
        <x:v>脊柱脊髓损伤再生修复教育部重点实验室</x:v>
      </x:c>
      <x:c r="E41" s="30" t="str">
        <x:v>2026-11-15</x:v>
      </x:c>
      <x:c r="F41" s="30" t="str">
        <x:v>日期未过·资格待核</x:v>
      </x:c>
      <x:c r="G41" s="30" t="str">
        <x:v>低</x:v>
      </x:c>
      <x:c r="H41" s="30" t="str">
        <x:v>医学影像、活体成像和医学人工智能，但具体研究对象为脊柱脊髓损伤</x:v>
      </x:c>
      <x:c r="I41" s="30" t="str">
        <x:v>与面上项目科学内容匹配程度依方向摘要判断；正式选题须核指南</x:v>
      </x:c>
      <x:c r="J41" s="30" t="str">
        <x:v>3—5万元/项，2年，课题获批后经费按实验室管理要求执行（历史记录）</x:v>
      </x:c>
      <x:c r="K41" s="30" t="str">
        <x:v>高校/医院/科研机构博士或中级及以上；倾向45岁以下研究者</x:v>
      </x:c>
      <x:c r="L41" s="30" t="str">
        <x:v>固定成员合作要求待核</x:v>
      </x:c>
      <x:c r="M41" s="30" t="str">
        <x:v>是否外拨待核</x:v>
      </x:c>
      <x:c r="N41" s="30" t="str">
        <x:v>研究周期待核</x:v>
      </x:c>
      <x:c r="O41" s="30" t="str">
        <x:v>成果与署名规则待核</x:v>
      </x:c>
      <x:c r="P41" s="30" t="str">
        <x:v>申请书、盖章及提交方式待核</x:v>
      </x:c>
      <x:c r="Q41" s="30" t="str">
        <x:v>https://sci.tongji.edu.cn/info/1045/1499.htm</x:v>
      </x:c>
      <x:c r="R41" s="30" t="str"/>
      <x:c r="S41" s="30" t="str">
        <x:v>本轮已核官方公告正文</x:v>
      </x:c>
      <x:c r="T41" s="30" t="str">
        <x:v>缺逐附件完成证据/不适用</x:v>
      </x:c>
      <x:c r="U41" s="30" t="str">
        <x:v>2026-10-08（资料核对；并非所有项目重新官网复核）</x:v>
      </x:c>
      <x:c r="V41" s="30" t="str">
        <x:v>查资格/联系实验室合作者</x:v>
      </x:c>
      <x:c r="W41" s="30" t="str">
        <x:v>博士或中级以上技术职称；面向高校、医院、科研院所等；鼓励45岁以下，预计仅资助2项；申请课题要与脊髓生理病理、活体成像、神经再生等紧密相关</x:v>
      </x:c>
      <x:c r="X41" s="30" t="str">
        <x:v>共有基线v0.8</x:v>
      </x:c>
      <x:c r="Y41" s="30" t="str">
        <x:v>v0.8:M162</x:v>
      </x:c>
      <x:c r="Z41" s="30" t="str">
        <x:v>原编号保留</x:v>
      </x:c>
    </x:row>
    <x:row r="42" ht="36" customHeight="1">
      <x:c r="A42" s="30" t="str">
        <x:v>M153</x:v>
      </x:c>
      <x:c r="B42" s="30" t="str">
        <x:v>开放基金/课题候选</x:v>
      </x:c>
      <x:c r="C42" s="30" t="str">
        <x:v>昆明理工大学</x:v>
      </x:c>
      <x:c r="D42" s="30" t="str">
        <x:v>云南省复杂系统与类脑智能重点实验室（筹）</x:v>
      </x:c>
      <x:c r="E42" s="30" t="str">
        <x:v>2026-11-30</x:v>
      </x:c>
      <x:c r="F42" s="30" t="str">
        <x:v>日期未过·资格待核</x:v>
      </x:c>
      <x:c r="G42" s="30" t="str">
        <x:v>低</x:v>
      </x:c>
      <x:c r="H42" s="30" t="str">
        <x:v>高阶网络、脑功能网络与认知行为；与机器人控制弱相关</x:v>
      </x:c>
      <x:c r="I42" s="30" t="str">
        <x:v>与面上项目科学内容匹配程度依方向摘要判断；正式选题须核指南</x:v>
      </x:c>
      <x:c r="J42" s="30" t="str">
        <x:v>面上≤3万元；重点≤5万元</x:v>
      </x:c>
      <x:c r="K42" s="30" t="str">
        <x:v>博士或高级职称+同类经历≥2年+主持过省部级项目+SCI≥1篇</x:v>
      </x:c>
      <x:c r="L42" s="30" t="str">
        <x:v>必须联合相关实验室固定研究人员</x:v>
      </x:c>
      <x:c r="M42" s="30" t="str">
        <x:v>实验室统一管理</x:v>
      </x:c>
      <x:c r="N42" s="30" t="str">
        <x:v>2027–2028</x:v>
      </x:c>
      <x:c r="O42" s="30" t="str">
        <x:v>成果与署名规则待核</x:v>
      </x:c>
      <x:c r="P42" s="30" t="str">
        <x:v>11月30日前盖章扫描版+电子版邮件zhangyw@kust.edu.cn</x:v>
      </x:c>
      <x:c r="Q42" s="30" t="str">
        <x:v>https://lxy.kust.edu.cn/info/1151/2522.htm</x:v>
      </x:c>
      <x:c r="R42" s="30" t="str"/>
      <x:c r="S42" s="30" t="str">
        <x:v>本轮已核官方指南正文</x:v>
      </x:c>
      <x:c r="T42" s="30" t="str">
        <x:v>缺逐附件完成证据/不适用</x:v>
      </x:c>
      <x:c r="U42" s="30" t="str">
        <x:v>2026-10-08（资料核对；并非所有项目重新官网复核）</x:v>
      </x:c>
      <x:c r="V42" s="30" t="str">
        <x:v>查资格/联系实验室合作者</x:v>
      </x:c>
      <x:c r="W42" s="30" t="str">
        <x:v>博士或高级职称、相关研究满2年、主持过省部级项目且发表至少1篇SCI；校内固定合作人员；重点不超5万、面上不超3万；合作者论文与单位署名条件</x:v>
      </x:c>
      <x:c r="X42" s="30" t="str">
        <x:v>共有基线v0.8</x:v>
      </x:c>
      <x:c r="Y42" s="30" t="str">
        <x:v>v0.8:M153</x:v>
      </x:c>
      <x:c r="Z42" s="30" t="str">
        <x:v>原编号保留</x:v>
      </x:c>
    </x:row>
    <x:row r="43" ht="36" customHeight="1">
      <x:c r="A43" s="30" t="str">
        <x:v>M007</x:v>
      </x:c>
      <x:c r="B43" s="30" t="str">
        <x:v>开放基金/课题候选</x:v>
      </x:c>
      <x:c r="C43" s="30" t="str">
        <x:v>中国科学院力学研究所</x:v>
      </x:c>
      <x:c r="D43" s="30" t="str">
        <x:v>超常环境非线性力学全国重点实验室</x:v>
      </x:c>
      <x:c r="E43" s="30" t="str">
        <x:v>未核实</x:v>
      </x:c>
      <x:c r="F43" s="30" t="str">
        <x:v>日期不明·待核</x:v>
      </x:c>
      <x:c r="G43" s="30" t="str">
        <x:v>高</x:v>
      </x:c>
      <x:c r="H43" s="30" t="str">
        <x:v>非线性固体/流固接触力学；物理建模；界面力学；一般课题可自主选题</x:v>
      </x:c>
      <x:c r="I43" s="30" t="str">
        <x:v>与面上项目科学内容匹配程度依方向摘要判断；正式选题须核指南</x:v>
      </x:c>
      <x:c r="J43" s="30" t="str">
        <x:v>10万元、一般5万元</x:v>
      </x:c>
      <x:c r="K43" s="30" t="str">
        <x:v>2026年重点10万元、一般5万元，正式PDF附件截止日尚未读取</x:v>
      </x:c>
      <x:c r="L43" s="30" t="str">
        <x:v>固定成员合作要求待核</x:v>
      </x:c>
      <x:c r="M43" s="30" t="str">
        <x:v>是否外拨待核</x:v>
      </x:c>
      <x:c r="N43" s="30" t="str">
        <x:v>研究周期待核</x:v>
      </x:c>
      <x:c r="O43" s="30" t="str">
        <x:v>成果与署名规则待核</x:v>
      </x:c>
      <x:c r="P43" s="30" t="str">
        <x:v>申请书、盖章及提交方式待核</x:v>
      </x:c>
      <x:c r="Q43" s="30" t="str">
        <x:v>https://www.lnm.imech.cas.cn/kfkt/fxxlxgjzdsys/</x:v>
      </x:c>
      <x:c r="R43" s="30" t="str"/>
      <x:c r="S43" s="30" t="str">
        <x:v>来源档案写明核过官网</x:v>
      </x:c>
      <x:c r="T43" s="30" t="str">
        <x:v>缺逐附件完成证据/不适用</x:v>
      </x:c>
      <x:c r="U43" s="30" t="str">
        <x:v>2026-10-08（资料核对；并非所有项目重新官网复核）</x:v>
      </x:c>
      <x:c r="V43" s="30" t="str">
        <x:v>定位年度公告及申报截止日期</x:v>
      </x:c>
      <x:c r="W43" s="30" t="str">
        <x:v>2026年重点10万元、一般5万元，正式PDF附件截止日尚未读取</x:v>
      </x:c>
      <x:c r="X43" s="30" t="str">
        <x:v>共有基线v0.8</x:v>
      </x:c>
      <x:c r="Y43" s="30" t="str">
        <x:v>v0.8:M007</x:v>
      </x:c>
      <x:c r="Z43" s="30" t="str">
        <x:v>原编号保留</x:v>
      </x:c>
    </x:row>
    <x:row r="44" ht="36" customHeight="1">
      <x:c r="A44" s="30" t="str">
        <x:v>M031</x:v>
      </x:c>
      <x:c r="B44" s="30" t="str">
        <x:v>开放基金/课题候选</x:v>
      </x:c>
      <x:c r="C44" s="30" t="str">
        <x:v>中国科学院沈阳自动化研究所</x:v>
      </x:c>
      <x:c r="D44" s="30" t="str">
        <x:v>机器人与智能系统全国重点实验室</x:v>
      </x:c>
      <x:c r="E44" s="30" t="str">
        <x:v>未核实</x:v>
      </x:c>
      <x:c r="F44" s="30" t="str">
        <x:v>日期不明·待核</x:v>
      </x:c>
      <x:c r="G44" s="30" t="str">
        <x:v>高</x:v>
      </x:c>
      <x:c r="H44" s="30" t="str">
        <x:v>智能医疗机器人；力触觉反馈；柔性控制；人机协同；具身智能</x:v>
      </x:c>
      <x:c r="I44" s="30" t="str">
        <x:v>与面上项目科学内容匹配程度依方向摘要判断；正式选题须核指南</x:v>
      </x:c>
      <x:c r="J44" s="30" t="str">
        <x:v>未记录／待核</x:v>
      </x:c>
      <x:c r="K44" s="30" t="str">
        <x:v>目前确认2025年度公告；下一年度尚待查</x:v>
      </x:c>
      <x:c r="L44" s="30" t="str">
        <x:v>固定成员合作要求待核</x:v>
      </x:c>
      <x:c r="M44" s="30" t="str">
        <x:v>是否外拨待核</x:v>
      </x:c>
      <x:c r="N44" s="30" t="str">
        <x:v>研究周期待核</x:v>
      </x:c>
      <x:c r="O44" s="30" t="str">
        <x:v>成果与署名规则待核</x:v>
      </x:c>
      <x:c r="P44" s="30" t="str">
        <x:v>申请书、盖章及提交方式待核</x:v>
      </x:c>
      <x:c r="Q44" s="30" t="str">
        <x:v>https://www.sia.ac.cn/xwzx/tzgg/202507/t20250711_7884994.html</x:v>
      </x:c>
      <x:c r="R44" s="30" t="str">
        <x:v>https://www.sia.ac.cn/xwzx/tzgg/202507/t20250711_7884994.html</x:v>
      </x:c>
      <x:c r="S44" s="30" t="str">
        <x:v>来源档案写明核过官网</x:v>
      </x:c>
      <x:c r="T44" s="30" t="str">
        <x:v>缺逐附件完成证据/不适用</x:v>
      </x:c>
      <x:c r="U44" s="30" t="str">
        <x:v>2026-10-08（资料核对；并非所有项目重新官网复核）</x:v>
      </x:c>
      <x:c r="V44" s="30" t="str">
        <x:v>定位年度公告及申报截止日期</x:v>
      </x:c>
      <x:c r="W44" s="30" t="str">
        <x:v>目前确认2025年度公告；下一年度尚待查</x:v>
      </x:c>
      <x:c r="X44" s="30" t="str">
        <x:v>共有基线v0.8</x:v>
      </x:c>
      <x:c r="Y44" s="30" t="str">
        <x:v>v0.8:M031</x:v>
      </x:c>
      <x:c r="Z44" s="30" t="str">
        <x:v>原编号保留</x:v>
      </x:c>
    </x:row>
    <x:row r="45" ht="36" customHeight="1">
      <x:c r="A45" s="30" t="str">
        <x:v>M047</x:v>
      </x:c>
      <x:c r="B45" s="30" t="str">
        <x:v>开放基金/课题候选</x:v>
      </x:c>
      <x:c r="C45" s="30" t="str">
        <x:v>南京航空航天大学相关平台</x:v>
      </x:c>
      <x:c r="D45" s="30" t="str">
        <x:v>先进制造智能化技术教育部重点实验室</x:v>
      </x:c>
      <x:c r="E45" s="30" t="str">
        <x:v>未核实</x:v>
      </x:c>
      <x:c r="F45" s="30" t="str">
        <x:v>日期不明·待核</x:v>
      </x:c>
      <x:c r="G45" s="30" t="str">
        <x:v>高</x:v>
      </x:c>
      <x:c r="H45" s="30" t="str">
        <x:v>面向智能组装的双臂机器人柔顺控制；模仿学习</x:v>
      </x:c>
      <x:c r="I45" s="30" t="str">
        <x:v>与面上项目科学内容匹配程度依方向摘要判断；正式选题须核指南</x:v>
      </x:c>
      <x:c r="J45" s="30" t="str">
        <x:v>未记录／待核</x:v>
      </x:c>
      <x:c r="K45" s="30" t="str">
        <x:v>由教师履历证实存在2025开放课题；尚未查到实验室官网2026指南</x:v>
      </x:c>
      <x:c r="L45" s="30" t="str">
        <x:v>固定成员合作要求待核</x:v>
      </x:c>
      <x:c r="M45" s="30" t="str">
        <x:v>是否外拨待核</x:v>
      </x:c>
      <x:c r="N45" s="30" t="str">
        <x:v>研究周期待核</x:v>
      </x:c>
      <x:c r="O45" s="30" t="str">
        <x:v>成果与署名规则待核</x:v>
      </x:c>
      <x:c r="P45" s="30" t="str">
        <x:v>申请书、盖章及提交方式待核</x:v>
      </x:c>
      <x:c r="Q45" s="30" t="str">
        <x:v>https://faculty.nuaa.edu.cn/_resources/group1/M00/00/16/CgDSRGl3Ev-AebazAI9UVRbXF5M098.pdf</x:v>
      </x:c>
      <x:c r="R45" s="30" t="str"/>
      <x:c r="S45" s="30" t="str">
        <x:v>来源档案写明核过官网</x:v>
      </x:c>
      <x:c r="T45" s="30" t="str">
        <x:v>缺逐附件完成证据/不适用</x:v>
      </x:c>
      <x:c r="U45" s="30" t="str">
        <x:v>2026-10-08（资料核对；并非所有项目重新官网复核）</x:v>
      </x:c>
      <x:c r="V45" s="30" t="str">
        <x:v>定位年度公告及申报截止日期</x:v>
      </x:c>
      <x:c r="W45" s="30" t="str">
        <x:v>由教师履历证实存在2025开放课题；尚未查到实验室官网2026指南</x:v>
      </x:c>
      <x:c r="X45" s="30" t="str">
        <x:v>共有基线v0.8</x:v>
      </x:c>
      <x:c r="Y45" s="30" t="str">
        <x:v>v0.8:M047</x:v>
      </x:c>
      <x:c r="Z45" s="30" t="str">
        <x:v>原编号保留</x:v>
      </x:c>
    </x:row>
    <x:row r="46" ht="36" customHeight="1">
      <x:c r="A46" s="30" t="str">
        <x:v>M056</x:v>
      </x:c>
      <x:c r="B46" s="30" t="str">
        <x:v>开放基金/课题候选</x:v>
      </x:c>
      <x:c r="C46" s="30" t="str">
        <x:v>上海交通大学医疗机器人研究院/同仁医院</x:v>
      </x:c>
      <x:c r="D46" s="30" t="str">
        <x:v>上海市柔性医疗机器人重点实验室</x:v>
      </x:c>
      <x:c r="E46" s="30" t="str">
        <x:v>未核实</x:v>
      </x:c>
      <x:c r="F46" s="30" t="str">
        <x:v>日期不明·待核</x:v>
      </x:c>
      <x:c r="G46" s="30" t="str">
        <x:v>高</x:v>
      </x:c>
      <x:c r="H46" s="30" t="str">
        <x:v>柔性医疗机器人；人机协同；医疗影像导航；机器人柔顺控制</x:v>
      </x:c>
      <x:c r="I46" s="30" t="str">
        <x:v>与面上项目科学内容匹配程度依方向摘要判断；正式选题须核指南</x:v>
      </x:c>
      <x:c r="J46" s="30" t="str">
        <x:v>未记录／待核</x:v>
      </x:c>
      <x:c r="K46" s="30" t="str">
        <x:v>官网显示2026-07-20开放课题栏目，2026年二季度有立项</x:v>
      </x:c>
      <x:c r="L46" s="30" t="str">
        <x:v>固定成员合作要求待核</x:v>
      </x:c>
      <x:c r="M46" s="30" t="str">
        <x:v>是否外拨待核</x:v>
      </x:c>
      <x:c r="N46" s="30" t="str">
        <x:v>研究周期待核</x:v>
      </x:c>
      <x:c r="O46" s="30" t="str">
        <x:v>成果与署名规则待核</x:v>
      </x:c>
      <x:c r="P46" s="30" t="str">
        <x:v>申请书、盖章及提交方式待核</x:v>
      </x:c>
      <x:c r="Q46" s="30" t="str">
        <x:v>https://imr.sjtu.edu.cn/</x:v>
      </x:c>
      <x:c r="R46" s="30" t="str">
        <x:v>https://www.shsmu.edu.cn/irm/info/1015/1801.htm</x:v>
      </x:c>
      <x:c r="S46" s="30" t="str">
        <x:v>来源档案写明核过官网</x:v>
      </x:c>
      <x:c r="T46" s="30" t="str">
        <x:v>缺逐附件完成证据/不适用</x:v>
      </x:c>
      <x:c r="U46" s="30" t="str">
        <x:v>2026-10-08（资料核对；并非所有项目重新官网复核）</x:v>
      </x:c>
      <x:c r="V46" s="30" t="str">
        <x:v>定位年度公告及申报截止日期</x:v>
      </x:c>
      <x:c r="W46" s="30" t="str">
        <x:v>官网显示2026-07-20开放课题栏目，2026年二季度有立项</x:v>
      </x:c>
      <x:c r="X46" s="30" t="str">
        <x:v>共有基线v0.8</x:v>
      </x:c>
      <x:c r="Y46" s="30" t="str">
        <x:v>v0.8:M056</x:v>
      </x:c>
      <x:c r="Z46" s="30" t="str">
        <x:v>原编号保留</x:v>
      </x:c>
    </x:row>
    <x:row r="47" ht="36" customHeight="1">
      <x:c r="A47" s="30" t="str">
        <x:v>M123</x:v>
      </x:c>
      <x:c r="B47" s="30" t="str">
        <x:v>开放基金/课题候选</x:v>
      </x:c>
      <x:c r="C47" s="30" t="str">
        <x:v>澳门大学</x:v>
      </x:c>
      <x:c r="D47" s="30" t="str">
        <x:v>应用物理及材料工程研究院开放研究项目</x:v>
      </x:c>
      <x:c r="E47" s="30" t="str">
        <x:v>未核实</x:v>
      </x:c>
      <x:c r="F47" s="30" t="str">
        <x:v>日期不明·待核</x:v>
      </x:c>
      <x:c r="G47" s="30" t="str">
        <x:v>高</x:v>
      </x:c>
      <x:c r="H47" s="30" t="str">
        <x:v>应用物理、材料工程；与超声机器人方法间接关联</x:v>
      </x:c>
      <x:c r="I47" s="30" t="str">
        <x:v>与面上项目科学内容匹配程度依方向摘要判断；正式选题须核指南</x:v>
      </x:c>
      <x:c r="J47" s="30" t="str">
        <x:v>未记录／待核</x:v>
      </x:c>
      <x:c r="K47" s="30" t="str">
        <x:v>申请资格待核</x:v>
      </x:c>
      <x:c r="L47" s="30" t="str">
        <x:v>固定成员合作要求待核</x:v>
      </x:c>
      <x:c r="M47" s="30" t="str">
        <x:v>是否外拨待核</x:v>
      </x:c>
      <x:c r="N47" s="30" t="str">
        <x:v>研究周期待核</x:v>
      </x:c>
      <x:c r="O47" s="30" t="str">
        <x:v>成果与署名规则待核</x:v>
      </x:c>
      <x:c r="P47" s="30" t="str">
        <x:v>申请书、盖章及提交方式待核</x:v>
      </x:c>
      <x:c r="Q47" s="30" t="str">
        <x:v>https://iapme.um.edu.mo/orp-2026-guidelines/?lang=zh-hant</x:v>
      </x:c>
      <x:c r="R47" s="30" t="str"/>
      <x:c r="S47" s="30" t="str">
        <x:v>仅继承来源信息/待核</x:v>
      </x:c>
      <x:c r="T47" s="30" t="str">
        <x:v>缺逐附件完成证据/不适用</x:v>
      </x:c>
      <x:c r="U47" s="30" t="str">
        <x:v>2026-10-08（资料核对；并非所有项目重新官网复核）</x:v>
      </x:c>
      <x:c r="V47" s="30" t="str">
        <x:v>定位年度公告及申报截止日期</x:v>
      </x:c>
      <x:c r="W47" s="30" t="str">
        <x:v>申请资格待核</x:v>
      </x:c>
      <x:c r="X47" s="30" t="str">
        <x:v>共有基线v0.8</x:v>
      </x:c>
      <x:c r="Y47" s="30" t="str">
        <x:v>v0.8:M123</x:v>
      </x:c>
      <x:c r="Z47" s="30" t="str">
        <x:v>原编号保留</x:v>
      </x:c>
    </x:row>
    <x:row r="48" ht="36" customHeight="1">
      <x:c r="A48" s="30" t="str">
        <x:v>M151</x:v>
      </x:c>
      <x:c r="B48" s="30" t="str">
        <x:v>开放基金/课题候选</x:v>
      </x:c>
      <x:c r="C48" s="30" t="str">
        <x:v>澳门大学</x:v>
      </x:c>
      <x:c r="D48" s="30" t="str">
        <x:v>中药机制与质量全国重点实验室（2026）</x:v>
      </x:c>
      <x:c r="E48" s="30" t="str">
        <x:v>未核实</x:v>
      </x:c>
      <x:c r="F48" s="30" t="str">
        <x:v>日期不明·待核</x:v>
      </x:c>
      <x:c r="G48" s="30" t="str">
        <x:v>高</x:v>
      </x:c>
      <x:c r="H48" s="30" t="str">
        <x:v>匹配研究方向：中药机制、免疫调节、研究模型；与原超声机器人项目关联弱</x:v>
      </x:c>
      <x:c r="I48" s="30" t="str">
        <x:v>与面上项目科学内容匹配程度依方向摘要判断；正式选题须核指南</x:v>
      </x:c>
      <x:c r="J48" s="30" t="str">
        <x:v>支持医院/养老院多模态具身定位，2~3万元/项。https://szmih.szcu.edu.cn/4135/list.htm（历史记录）</x:v>
      </x:c>
      <x:c r="K48" s="30" t="str">
        <x:v>申请资格待核</x:v>
      </x:c>
      <x:c r="L48" s="30" t="str">
        <x:v>固定成员合作要求待核</x:v>
      </x:c>
      <x:c r="M48" s="30" t="str">
        <x:v>是否外拨待核</x:v>
      </x:c>
      <x:c r="N48" s="30" t="str">
        <x:v>研究周期待核</x:v>
      </x:c>
      <x:c r="O48" s="30" t="str">
        <x:v>成果与署名规则待核</x:v>
      </x:c>
      <x:c r="P48" s="30" t="str">
        <x:v>申请书、盖章及提交方式待核</x:v>
      </x:c>
      <x:c r="Q48" s="30" t="str">
        <x:v>https://sklmqcm.um.edu.mo/skl-orpp/?lang=zh-hant</x:v>
      </x:c>
      <x:c r="R48" s="30" t="str"/>
      <x:c r="S48" s="30" t="str">
        <x:v>仅继承来源信息/待核</x:v>
      </x:c>
      <x:c r="T48" s="30" t="str">
        <x:v>缺逐附件完成证据/不适用</x:v>
      </x:c>
      <x:c r="U48" s="30" t="str">
        <x:v>2026-10-08（资料核对；并非所有项目重新官网复核）</x:v>
      </x:c>
      <x:c r="V48" s="30" t="str">
        <x:v>定位年度公告及申报截止日期</x:v>
      </x:c>
      <x:c r="W48" s="30" t="str">
        <x:v>申请资格待核</x:v>
      </x:c>
      <x:c r="X48" s="30" t="str">
        <x:v>共有基线v0.8</x:v>
      </x:c>
      <x:c r="Y48" s="30" t="str">
        <x:v>v0.8:M151</x:v>
      </x:c>
      <x:c r="Z48" s="30" t="str">
        <x:v>原编号保留</x:v>
      </x:c>
    </x:row>
    <x:row r="49" ht="36" customHeight="1">
      <x:c r="A49" s="30" t="str">
        <x:v>M155</x:v>
      </x:c>
      <x:c r="B49" s="30" t="str">
        <x:v>开放基金/课题候选</x:v>
      </x:c>
      <x:c r="C49" s="30" t="str">
        <x:v>上海交通大学</x:v>
      </x:c>
      <x:c r="D49" s="30" t="str">
        <x:v>射频异质异构集成全国重点实验室</x:v>
      </x:c>
      <x:c r="E49" s="30" t="str">
        <x:v>未核实</x:v>
      </x:c>
      <x:c r="F49" s="30" t="str">
        <x:v>日期不明·待核</x:v>
      </x:c>
      <x:c r="G49" s="30" t="str">
        <x:v>高</x:v>
      </x:c>
      <x:c r="H49" s="30" t="str">
        <x:v>多物理场耦合建模、射频测试；与组织接触/超声机器人应用对象差异较大</x:v>
      </x:c>
      <x:c r="I49" s="30" t="str">
        <x:v>与面上项目科学内容匹配程度依方向摘要判断；正式选题须核指南</x:v>
      </x:c>
      <x:c r="J49" s="30" t="str">
        <x:v>未记录／待核</x:v>
      </x:c>
      <x:c r="K49" s="30" t="str">
        <x:v>具体申报日期和申请资格待从同一公告后续文本核实</x:v>
      </x:c>
      <x:c r="L49" s="30" t="str">
        <x:v>固定成员合作要求待核</x:v>
      </x:c>
      <x:c r="M49" s="30" t="str">
        <x:v>是否外拨待核</x:v>
      </x:c>
      <x:c r="N49" s="30" t="str">
        <x:v>研究周期待核</x:v>
      </x:c>
      <x:c r="O49" s="30" t="str">
        <x:v>成果与署名规则待核</x:v>
      </x:c>
      <x:c r="P49" s="30" t="str">
        <x:v>申请书、盖章及提交方式待核</x:v>
      </x:c>
      <x:c r="Q49" s="30" t="str">
        <x:v>https://rfhi.sjtu.edu.cn/show/183</x:v>
      </x:c>
      <x:c r="R49" s="30" t="str"/>
      <x:c r="S49" s="30" t="str">
        <x:v>仅继承来源信息/待核</x:v>
      </x:c>
      <x:c r="T49" s="30" t="str">
        <x:v>缺逐附件完成证据/不适用</x:v>
      </x:c>
      <x:c r="U49" s="30" t="str">
        <x:v>2026-10-08（资料核对；并非所有项目重新官网复核）</x:v>
      </x:c>
      <x:c r="V49" s="30" t="str">
        <x:v>定位年度公告及申报截止日期</x:v>
      </x:c>
      <x:c r="W49" s="30" t="str">
        <x:v>具体申报日期和申请资格待从同一公告后续文本核实</x:v>
      </x:c>
      <x:c r="X49" s="30" t="str">
        <x:v>共有基线v0.8</x:v>
      </x:c>
      <x:c r="Y49" s="30" t="str">
        <x:v>v0.8:M155</x:v>
      </x:c>
      <x:c r="Z49" s="30" t="str">
        <x:v>原编号保留</x:v>
      </x:c>
    </x:row>
    <x:row r="50" ht="36" customHeight="1">
      <x:c r="A50" s="30" t="str">
        <x:v>M156</x:v>
      </x:c>
      <x:c r="B50" s="30" t="str">
        <x:v>开放基金/课题候选</x:v>
      </x:c>
      <x:c r="C50" s="30" t="str">
        <x:v>江南大学</x:v>
      </x:c>
      <x:c r="D50" s="30" t="str">
        <x:v>康养智能化技术教育部工程研究中心</x:v>
      </x:c>
      <x:c r="E50" s="30" t="str">
        <x:v>未核实</x:v>
      </x:c>
      <x:c r="F50" s="30" t="str">
        <x:v>日期不明·待核</x:v>
      </x:c>
      <x:c r="G50" s="30" t="str">
        <x:v>高</x:v>
      </x:c>
      <x:c r="H50" s="30" t="str">
        <x:v>康养信息多模态、智能陪伴机器人、医学工程交叉；超声机器人仅部分技术相关</x:v>
      </x:c>
      <x:c r="I50" s="30" t="str">
        <x:v>与面上项目科学内容匹配程度依方向摘要判断；正式选题须核指南</x:v>
      </x:c>
      <x:c r="J50" s="30" t="str">
        <x:v>未记录／待核</x:v>
      </x:c>
      <x:c r="K50" s="30" t="str">
        <x:v>最新截止日期、申报资格、经费需要另查2026/2027正式指南</x:v>
      </x:c>
      <x:c r="L50" s="30" t="str">
        <x:v>固定成员合作要求待核</x:v>
      </x:c>
      <x:c r="M50" s="30" t="str">
        <x:v>是否外拨待核</x:v>
      </x:c>
      <x:c r="N50" s="30" t="str">
        <x:v>研究周期待核</x:v>
      </x:c>
      <x:c r="O50" s="30" t="str">
        <x:v>成果与署名规则待核</x:v>
      </x:c>
      <x:c r="P50" s="30" t="str">
        <x:v>申请书、盖章及提交方式待核</x:v>
      </x:c>
      <x:c r="Q50" s="30" t="str">
        <x:v>https://ai.jiangnan.edu.cn/info/1037/1070.htm</x:v>
      </x:c>
      <x:c r="R50" s="30" t="str"/>
      <x:c r="S50" s="30" t="str">
        <x:v>仅继承来源信息/待核</x:v>
      </x:c>
      <x:c r="T50" s="30" t="str">
        <x:v>缺逐附件完成证据/不适用</x:v>
      </x:c>
      <x:c r="U50" s="30" t="str">
        <x:v>2026-10-08（资料核对；并非所有项目重新官网复核）</x:v>
      </x:c>
      <x:c r="V50" s="30" t="str">
        <x:v>定位年度公告及申报截止日期</x:v>
      </x:c>
      <x:c r="W50" s="30" t="str">
        <x:v>最新截止日期、申报资格、经费需要另查2026/2027正式指南</x:v>
      </x:c>
      <x:c r="X50" s="30" t="str">
        <x:v>共有基线v0.8</x:v>
      </x:c>
      <x:c r="Y50" s="30" t="str">
        <x:v>v0.8:M156</x:v>
      </x:c>
      <x:c r="Z50" s="30" t="str">
        <x:v>原编号保留</x:v>
      </x:c>
    </x:row>
    <x:row r="51" ht="36" customHeight="1">
      <x:c r="A51" s="30" t="str">
        <x:v>M187</x:v>
      </x:c>
      <x:c r="B51" s="30" t="str">
        <x:v>开放基金/课题候选</x:v>
      </x:c>
      <x:c r="C51" s="30" t="str">
        <x:v>重庆大学</x:v>
      </x:c>
      <x:c r="D51" s="30" t="str">
        <x:v>信息物理社会可信服务计算教育部重点实验室（CPS）</x:v>
      </x:c>
      <x:c r="E51" s="30" t="str">
        <x:v>未核实</x:v>
      </x:c>
      <x:c r="F51" s="30" t="str">
        <x:v>日期不明·待核</x:v>
      </x:c>
      <x:c r="G51" s="30" t="str">
        <x:v>高</x:v>
      </x:c>
      <x:c r="H51" s="30" t="str">
        <x:v>与申请书的匹配方向：机器人与智能系统、智能控制、强化学习与自主操作；官网有专门研究团队</x:v>
      </x:c>
      <x:c r="I51" s="30" t="str">
        <x:v>与面上项目科学内容匹配程度依方向摘要判断；正式选题须核指南</x:v>
      </x:c>
      <x:c r="J51" s="30" t="str">
        <x:v>未记录／待核</x:v>
      </x:c>
      <x:c r="K51" s="30" t="str">
        <x:v>申请资格、合作与成果限制：章程称开放基金面向国内外研究人员；2026是否开放及具体资格待核</x:v>
      </x:c>
      <x:c r="L51" s="30" t="str">
        <x:v>固定成员合作要求待核</x:v>
      </x:c>
      <x:c r="M51" s="30" t="str">
        <x:v>是否外拨待核</x:v>
      </x:c>
      <x:c r="N51" s="30" t="str">
        <x:v>研究周期待核</x:v>
      </x:c>
      <x:c r="O51" s="30" t="str">
        <x:v>成果与署名规则待核</x:v>
      </x:c>
      <x:c r="P51" s="30" t="str">
        <x:v>申请书、盖章及提交方式待核</x:v>
      </x:c>
      <x:c r="Q51" s="30" t="str">
        <x:v>https://cps.cqu.edu.cn/</x:v>
      </x:c>
      <x:c r="R51" s="30" t="str">
        <x:v>https://cps.cqu.edu.cn/sysgk/syszc.htm</x:v>
      </x:c>
      <x:c r="S51" s="30" t="str">
        <x:v>仅继承来源信息/待核</x:v>
      </x:c>
      <x:c r="T51" s="30" t="str">
        <x:v>缺逐附件完成证据/不适用</x:v>
      </x:c>
      <x:c r="U51" s="30" t="str">
        <x:v>2026-10-08（资料核对；并非所有项目重新官网复核）</x:v>
      </x:c>
      <x:c r="V51" s="30" t="str">
        <x:v>定位年度公告及申报截止日期</x:v>
      </x:c>
      <x:c r="W51" s="30" t="str">
        <x:v>申请资格、合作与成果限制：章程称开放基金面向国内外研究人员；2026是否开放及具体资格待核</x:v>
      </x:c>
      <x:c r="X51" s="30" t="str">
        <x:v>本对话 v0.9</x:v>
      </x:c>
      <x:c r="Y51" s="30" t="str">
        <x:v>本对话v0.9:M187</x:v>
      </x:c>
      <x:c r="Z51" s="30" t="str">
        <x:v>保留原编号（该编号在另一对话冲突）</x:v>
      </x:c>
    </x:row>
    <x:row r="52" ht="36" customHeight="1">
      <x:c r="A52" s="30" t="str">
        <x:v>M188</x:v>
      </x:c>
      <x:c r="B52" s="30" t="str">
        <x:v>开放基金/课题候选</x:v>
      </x:c>
      <x:c r="C52" s="30" t="str">
        <x:v>华南理工大学</x:v>
      </x:c>
      <x:c r="D52" s="30" t="str">
        <x:v>发光材料与器件全国重点实验室</x:v>
      </x:c>
      <x:c r="E52" s="30" t="str">
        <x:v>未核实</x:v>
      </x:c>
      <x:c r="F52" s="30" t="str">
        <x:v>日期不明·待核</x:v>
      </x:c>
      <x:c r="G52" s="30" t="str">
        <x:v>高</x:v>
      </x:c>
      <x:c r="H52" s="30" t="str">
        <x:v>与申请书的匹配方向：光电成像与智能传感、激光相关；与超声机器人建模控制关联弱，需严格匹配实验室光电主题</x:v>
      </x:c>
      <x:c r="I52" s="30" t="str">
        <x:v>与面上项目科学内容匹配程度依方向摘要判断；正式选题须核指南</x:v>
      </x:c>
      <x:c r="J52" s="30" t="str">
        <x:v>2026-11-10 | 苏州大学·江苏省高校通用人工智能与大模型重点实验室（原有记录） | 方向：机器人具身智能、多模态、感知—决策—执行（历史记录）</x:v>
      </x:c>
      <x:c r="K52" s="30" t="str">
        <x:v>申请资格、合作与成果限制：有外校获批的公开案例；具体官方指南及资格待核</x:v>
      </x:c>
      <x:c r="L52" s="30" t="str">
        <x:v>固定成员合作要求待核</x:v>
      </x:c>
      <x:c r="M52" s="30" t="str">
        <x:v>是否外拨待核</x:v>
      </x:c>
      <x:c r="N52" s="30" t="str">
        <x:v>研究周期待核</x:v>
      </x:c>
      <x:c r="O52" s="30" t="str">
        <x:v>成果与署名规则待核</x:v>
      </x:c>
      <x:c r="P52" s="30" t="str">
        <x:v>申请书、盖章及提交方式待核</x:v>
      </x:c>
      <x:c r="Q52" s="30" t="str">
        <x:v>https://gxy.lsu.edu.cn/2026/0112/c503a362841/page.htm</x:v>
      </x:c>
      <x:c r="R52" s="30" t="str"/>
      <x:c r="S52" s="30" t="str">
        <x:v>仅继承来源信息/待核</x:v>
      </x:c>
      <x:c r="T52" s="30" t="str">
        <x:v>缺逐附件完成证据/不适用</x:v>
      </x:c>
      <x:c r="U52" s="30" t="str">
        <x:v>2026-10-08（资料核对；并非所有项目重新官网复核）</x:v>
      </x:c>
      <x:c r="V52" s="30" t="str">
        <x:v>定位年度公告及申报截止日期</x:v>
      </x:c>
      <x:c r="W52" s="30" t="str">
        <x:v>申请资格、合作与成果限制：有外校获批的公开案例；具体官方指南及资格待核</x:v>
      </x:c>
      <x:c r="X52" s="30" t="str">
        <x:v>本对话 v0.9</x:v>
      </x:c>
      <x:c r="Y52" s="30" t="str">
        <x:v>本对话v0.9:M188</x:v>
      </x:c>
      <x:c r="Z52" s="30" t="str">
        <x:v>保留原编号（该编号在另一对话冲突）</x:v>
      </x:c>
    </x:row>
    <x:row r="53" ht="36" customHeight="1">
      <x:c r="A53" s="30" t="str">
        <x:v>M006</x:v>
      </x:c>
      <x:c r="B53" s="30" t="str">
        <x:v>开放基金/课题候选</x:v>
      </x:c>
      <x:c r="C53" s="30" t="str">
        <x:v>内蒙古第一机械集团有限公司等</x:v>
      </x:c>
      <x:c r="D53" s="30" t="str">
        <x:v>特种车辆设计制造集成技术全国重点实验室</x:v>
      </x:c>
      <x:c r="E53" s="30" t="str">
        <x:v>未核实</x:v>
      </x:c>
      <x:c r="F53" s="30" t="str">
        <x:v>日期不明·待核</x:v>
      </x:c>
      <x:c r="G53" s="30" t="str">
        <x:v>中</x:v>
      </x:c>
      <x:c r="H53" s="30" t="str">
        <x:v>机器人驱动与控制；复杂装备机电耦合建模；机器视觉与三维定位</x:v>
      </x:c>
      <x:c r="I53" s="30" t="str">
        <x:v>与面上项目科学内容匹配程度依方向摘要判断；正式选题须核指南</x:v>
      </x:c>
      <x:c r="J53" s="30" t="str">
        <x:v>未记录／待核</x:v>
      </x:c>
      <x:c r="K53" s="30" t="str">
        <x:v>论文引用2025年度开放课题GZ2025KF011；并非2026申请指南</x:v>
      </x:c>
      <x:c r="L53" s="30" t="str">
        <x:v>固定成员合作要求待核</x:v>
      </x:c>
      <x:c r="M53" s="30" t="str">
        <x:v>是否外拨待核</x:v>
      </x:c>
      <x:c r="N53" s="30" t="str">
        <x:v>研究周期待核</x:v>
      </x:c>
      <x:c r="O53" s="30" t="str">
        <x:v>成果与署名规则待核</x:v>
      </x:c>
      <x:c r="P53" s="30" t="str">
        <x:v>申请书、盖章及提交方式待核</x:v>
      </x:c>
      <x:c r="Q53" s="30" t="str">
        <x:v>https://www.cmemo.org.cn/CN/abstract/abstract10068.shtml</x:v>
      </x:c>
      <x:c r="R53" s="30" t="str"/>
      <x:c r="S53" s="30" t="str">
        <x:v>仅继承来源信息/待核</x:v>
      </x:c>
      <x:c r="T53" s="30" t="str">
        <x:v>缺逐附件完成证据/不适用</x:v>
      </x:c>
      <x:c r="U53" s="30" t="str">
        <x:v>2026-10-08（资料核对；并非所有项目重新官网复核）</x:v>
      </x:c>
      <x:c r="V53" s="30" t="str">
        <x:v>定位年度公告及申报截止日期</x:v>
      </x:c>
      <x:c r="W53" s="30" t="str">
        <x:v>论文引用2025年度开放课题GZ2025KF011；并非2026申请指南</x:v>
      </x:c>
      <x:c r="X53" s="30" t="str">
        <x:v>共有基线v0.8</x:v>
      </x:c>
      <x:c r="Y53" s="30" t="str">
        <x:v>v0.8:M006</x:v>
      </x:c>
      <x:c r="Z53" s="30" t="str">
        <x:v>原编号保留</x:v>
      </x:c>
    </x:row>
    <x:row r="54" ht="36" customHeight="1">
      <x:c r="A54" s="30" t="str">
        <x:v>M026</x:v>
      </x:c>
      <x:c r="B54" s="30" t="str">
        <x:v>开放基金/课题候选</x:v>
      </x:c>
      <x:c r="C54" s="30" t="str">
        <x:v>浙江大学</x:v>
      </x:c>
      <x:c r="D54" s="30" t="str">
        <x:v>流体动力基础件与机电系统全国重点实验室</x:v>
      </x:c>
      <x:c r="E54" s="30" t="str">
        <x:v>未核实</x:v>
      </x:c>
      <x:c r="F54" s="30" t="str">
        <x:v>日期不明·待核</x:v>
      </x:c>
      <x:c r="G54" s="30" t="str">
        <x:v>中</x:v>
      </x:c>
      <x:c r="H54" s="30" t="str">
        <x:v>机电系统智能控制；柔性执行器；复杂动力学</x:v>
      </x:c>
      <x:c r="I54" s="30" t="str">
        <x:v>与面上项目科学内容匹配程度依方向摘要判断；正式选题须核指南</x:v>
      </x:c>
      <x:c r="J54" s="30" t="str">
        <x:v>未记录／待核</x:v>
      </x:c>
      <x:c r="K54" s="30" t="str">
        <x:v>申请资格待核</x:v>
      </x:c>
      <x:c r="L54" s="30" t="str">
        <x:v>固定成员合作要求待核</x:v>
      </x:c>
      <x:c r="M54" s="30" t="str">
        <x:v>是否外拨待核</x:v>
      </x:c>
      <x:c r="N54" s="30" t="str">
        <x:v>研究周期待核</x:v>
      </x:c>
      <x:c r="O54" s="30" t="str">
        <x:v>成果与署名规则待核</x:v>
      </x:c>
      <x:c r="P54" s="30" t="str">
        <x:v>申请书、盖章及提交方式待核</x:v>
      </x:c>
      <x:c r="Q54" s="30" t="str">
        <x:v>https://sklofp.zju.edu.cn/skl/2026/0826/c28018a3196930/page.htm</x:v>
      </x:c>
      <x:c r="R54" s="30" t="str"/>
      <x:c r="S54" s="30" t="str">
        <x:v>仅继承来源信息/待核</x:v>
      </x:c>
      <x:c r="T54" s="30" t="str">
        <x:v>缺逐附件完成证据/不适用</x:v>
      </x:c>
      <x:c r="U54" s="30" t="str">
        <x:v>2026-10-08（资料核对；并非所有项目重新官网复核）</x:v>
      </x:c>
      <x:c r="V54" s="30" t="str">
        <x:v>定位年度公告及申报截止日期</x:v>
      </x:c>
      <x:c r="W54" s="30" t="str">
        <x:v>申请资格待核</x:v>
      </x:c>
      <x:c r="X54" s="30" t="str">
        <x:v>共有基线v0.8</x:v>
      </x:c>
      <x:c r="Y54" s="30" t="str">
        <x:v>v0.8:M026</x:v>
      </x:c>
      <x:c r="Z54" s="30" t="str">
        <x:v>原编号保留</x:v>
      </x:c>
    </x:row>
    <x:row r="55" ht="36" customHeight="1">
      <x:c r="A55" s="30" t="str">
        <x:v>M049</x:v>
      </x:c>
      <x:c r="B55" s="30" t="str">
        <x:v>开放基金/课题候选</x:v>
      </x:c>
      <x:c r="C55" s="30" t="str">
        <x:v>郑州大学相关教育部工程中心</x:v>
      </x:c>
      <x:c r="D55" s="30" t="str">
        <x:v>智能集群系统教育部工程研究中心（具身智能开放课题）</x:v>
      </x:c>
      <x:c r="E55" s="30" t="str">
        <x:v>未核实</x:v>
      </x:c>
      <x:c r="F55" s="30" t="str">
        <x:v>日期不明·待核</x:v>
      </x:c>
      <x:c r="G55" s="30" t="str">
        <x:v>中</x:v>
      </x:c>
      <x:c r="H55" s="30" t="str">
        <x:v>人形机器人本体；机器人场景应用；具身学习</x:v>
      </x:c>
      <x:c r="I55" s="30" t="str">
        <x:v>与面上项目科学内容匹配程度依方向摘要判断；正式选题须核指南</x:v>
      </x:c>
      <x:c r="J55" s="30" t="str">
        <x:v>未记录／待核</x:v>
      </x:c>
      <x:c r="K55" s="30" t="str">
        <x:v>仅面向河南省高校/企业；未核到正式指南</x:v>
      </x:c>
      <x:c r="L55" s="30" t="str">
        <x:v>固定成员合作要求待核</x:v>
      </x:c>
      <x:c r="M55" s="30" t="str">
        <x:v>是否外拨待核</x:v>
      </x:c>
      <x:c r="N55" s="30" t="str">
        <x:v>研究周期待核</x:v>
      </x:c>
      <x:c r="O55" s="30" t="str">
        <x:v>成果与署名规则待核</x:v>
      </x:c>
      <x:c r="P55" s="30" t="str">
        <x:v>申请书、盖章及提交方式待核</x:v>
      </x:c>
      <x:c r="Q55" s="30" t="str">
        <x:v>https://i.460.net.cn/a/563644.html</x:v>
      </x:c>
      <x:c r="R55" s="30" t="str"/>
      <x:c r="S55" s="30" t="str">
        <x:v>来源档案写明核过官网</x:v>
      </x:c>
      <x:c r="T55" s="30" t="str">
        <x:v>缺逐附件完成证据/不适用</x:v>
      </x:c>
      <x:c r="U55" s="30" t="str">
        <x:v>2026-10-08（资料核对；并非所有项目重新官网复核）</x:v>
      </x:c>
      <x:c r="V55" s="30" t="str">
        <x:v>定位年度公告及申报截止日期</x:v>
      </x:c>
      <x:c r="W55" s="30" t="str">
        <x:v>仅面向河南省高校/企业；未核到正式指南</x:v>
      </x:c>
      <x:c r="X55" s="30" t="str">
        <x:v>共有基线v0.8</x:v>
      </x:c>
      <x:c r="Y55" s="30" t="str">
        <x:v>v0.8:M049</x:v>
      </x:c>
      <x:c r="Z55" s="30" t="str">
        <x:v>原编号保留</x:v>
      </x:c>
    </x:row>
    <x:row r="56" ht="36" customHeight="1">
      <x:c r="A56" s="30" t="str">
        <x:v>M055</x:v>
      </x:c>
      <x:c r="B56" s="30" t="str">
        <x:v>开放基金/课题候选</x:v>
      </x:c>
      <x:c r="C56" s="30" t="str">
        <x:v>青海师范大学</x:v>
      </x:c>
      <x:c r="D56" s="30" t="str">
        <x:v>藏文信息处理教育部重点实验室</x:v>
      </x:c>
      <x:c r="E56" s="30" t="str">
        <x:v>未核实</x:v>
      </x:c>
      <x:c r="F56" s="30" t="str">
        <x:v>仅机制/批次待核</x:v>
      </x:c>
      <x:c r="G56" s="30" t="str">
        <x:v>中</x:v>
      </x:c>
      <x:c r="H56" s="30" t="str">
        <x:v>跨域小样本图像分割；多模态模式识别（仅算法间接）</x:v>
      </x:c>
      <x:c r="I56" s="30" t="str">
        <x:v>与面上项目科学内容匹配程度依方向摘要判断；正式选题须核指南</x:v>
      </x:c>
      <x:c r="J56" s="30" t="str">
        <x:v>未记录／待核</x:v>
      </x:c>
      <x:c r="K56" s="30" t="str">
        <x:v>已发布2026年立项；主要NLP/跨域视觉，算法层面匹配</x:v>
      </x:c>
      <x:c r="L56" s="30" t="str">
        <x:v>固定成员合作要求待核</x:v>
      </x:c>
      <x:c r="M56" s="30" t="str">
        <x:v>是否外拨待核</x:v>
      </x:c>
      <x:c r="N56" s="30" t="str">
        <x:v>研究周期待核</x:v>
      </x:c>
      <x:c r="O56" s="30" t="str">
        <x:v>成果与署名规则待核</x:v>
      </x:c>
      <x:c r="P56" s="30" t="str">
        <x:v>申请书、盖章及提交方式待核</x:v>
      </x:c>
      <x:c r="Q56" s="30" t="str">
        <x:v>https://kjc.qhnu.edu.cn/info/1062/2244.htm</x:v>
      </x:c>
      <x:c r="R56" s="30" t="str"/>
      <x:c r="S56" s="30" t="str">
        <x:v>来源档案写明核过官网</x:v>
      </x:c>
      <x:c r="T56" s="30" t="str">
        <x:v>缺逐附件完成证据/不适用</x:v>
      </x:c>
      <x:c r="U56" s="30" t="str">
        <x:v>2026-10-08（资料核对；并非所有项目重新官网复核）</x:v>
      </x:c>
      <x:c r="V56" s="30" t="str">
        <x:v>定位年度公告及申报截止日期</x:v>
      </x:c>
      <x:c r="W56" s="30" t="str">
        <x:v>已发布2026年立项；主要NLP/跨域视觉，算法层面匹配</x:v>
      </x:c>
      <x:c r="X56" s="30" t="str">
        <x:v>共有基线v0.8</x:v>
      </x:c>
      <x:c r="Y56" s="30" t="str">
        <x:v>v0.8:M055</x:v>
      </x:c>
      <x:c r="Z56" s="30" t="str">
        <x:v>原编号保留</x:v>
      </x:c>
    </x:row>
    <x:row r="57" ht="36" customHeight="1">
      <x:c r="A57" s="30" t="str">
        <x:v>M069</x:v>
      </x:c>
      <x:c r="B57" s="30" t="str">
        <x:v>开放基金/课题候选</x:v>
      </x:c>
      <x:c r="C57" s="30" t="str">
        <x:v>广东华中科技大学工业技术研究院</x:v>
      </x:c>
      <x:c r="D57" s="30" t="str">
        <x:v>广东省制造装备数字化重点实验室</x:v>
      </x:c>
      <x:c r="E57" s="30" t="str">
        <x:v>未核实</x:v>
      </x:c>
      <x:c r="F57" s="30" t="str">
        <x:v>日期不明·待核</x:v>
      </x:c>
      <x:c r="G57" s="30" t="str">
        <x:v>中</x:v>
      </x:c>
      <x:c r="H57" s="30" t="str">
        <x:v>无人自主控制；移动机器人；工业数字化</x:v>
      </x:c>
      <x:c r="I57" s="30" t="str">
        <x:v>与面上项目科学内容匹配程度依方向摘要判断；正式选题须核指南</x:v>
      </x:c>
      <x:c r="J57" s="30" t="str">
        <x:v>未记录／待核</x:v>
      </x:c>
      <x:c r="K57" s="30" t="str">
        <x:v>官方页面证明2026年度开放课题评议，不是申请指南</x:v>
      </x:c>
      <x:c r="L57" s="30" t="str">
        <x:v>固定成员合作要求待核</x:v>
      </x:c>
      <x:c r="M57" s="30" t="str">
        <x:v>是否外拨待核</x:v>
      </x:c>
      <x:c r="N57" s="30" t="str">
        <x:v>研究周期待核</x:v>
      </x:c>
      <x:c r="O57" s="30" t="str">
        <x:v>成果与署名规则待核</x:v>
      </x:c>
      <x:c r="P57" s="30" t="str">
        <x:v>申请书、盖章及提交方式待核</x:v>
      </x:c>
      <x:c r="Q57" s="30" t="str">
        <x:v>https://www.girirobot.com/View/Article/ArticleDetail.aspx?id=2394</x:v>
      </x:c>
      <x:c r="R57" s="30" t="str"/>
      <x:c r="S57" s="30" t="str">
        <x:v>来源档案写明核过官网</x:v>
      </x:c>
      <x:c r="T57" s="30" t="str">
        <x:v>缺逐附件完成证据/不适用</x:v>
      </x:c>
      <x:c r="U57" s="30" t="str">
        <x:v>2026-10-08（资料核对；并非所有项目重新官网复核）</x:v>
      </x:c>
      <x:c r="V57" s="30" t="str">
        <x:v>定位年度公告及申报截止日期</x:v>
      </x:c>
      <x:c r="W57" s="30" t="str">
        <x:v>官方页面证明2026年度开放课题评议，不是申请指南</x:v>
      </x:c>
      <x:c r="X57" s="30" t="str">
        <x:v>共有基线v0.8</x:v>
      </x:c>
      <x:c r="Y57" s="30" t="str">
        <x:v>v0.8:M069</x:v>
      </x:c>
      <x:c r="Z57" s="30" t="str">
        <x:v>原编号保留</x:v>
      </x:c>
    </x:row>
    <x:row r="58" ht="36" customHeight="1">
      <x:c r="A58" s="30" t="str">
        <x:v>M075</x:v>
      </x:c>
      <x:c r="B58" s="30" t="str">
        <x:v>开放基金/课题候选</x:v>
      </x:c>
      <x:c r="C58" s="30" t="str">
        <x:v>苏州城市学院</x:v>
      </x:c>
      <x:c r="D58" s="30" t="str">
        <x:v>苏州市多模态数据融合与智慧康养重点实验室</x:v>
      </x:c>
      <x:c r="E58" s="30" t="str">
        <x:v>未核实</x:v>
      </x:c>
      <x:c r="F58" s="30" t="str">
        <x:v>日期不明·待核</x:v>
      </x:c>
      <x:c r="G58" s="30" t="str">
        <x:v>中</x:v>
      </x:c>
      <x:c r="H58" s="30" t="str">
        <x:v>多模态健康数据融合；医学智能感知；智慧康养</x:v>
      </x:c>
      <x:c r="I58" s="30" t="str">
        <x:v>与面上项目科学内容匹配程度依方向摘要判断；正式选题须核指南</x:v>
      </x:c>
      <x:c r="J58" s="30" t="str">
        <x:v>未记录／待核</x:v>
      </x:c>
      <x:c r="K58" s="30" t="str">
        <x:v>官方2026公告已发布，页面内尚未核得截止日期</x:v>
      </x:c>
      <x:c r="L58" s="30" t="str">
        <x:v>固定成员合作要求待核</x:v>
      </x:c>
      <x:c r="M58" s="30" t="str">
        <x:v>是否外拨待核</x:v>
      </x:c>
      <x:c r="N58" s="30" t="str">
        <x:v>研究周期待核</x:v>
      </x:c>
      <x:c r="O58" s="30" t="str">
        <x:v>成果与署名规则待核</x:v>
      </x:c>
      <x:c r="P58" s="30" t="str">
        <x:v>申请书、盖章及提交方式待核</x:v>
      </x:c>
      <x:c r="Q58" s="30" t="str">
        <x:v>https://szmih.szcu.edu.cn/4135/list.htm</x:v>
      </x:c>
      <x:c r="R58" s="30" t="str"/>
      <x:c r="S58" s="30" t="str">
        <x:v>来源档案写明核过官网</x:v>
      </x:c>
      <x:c r="T58" s="30" t="str">
        <x:v>缺逐附件完成证据/不适用</x:v>
      </x:c>
      <x:c r="U58" s="30" t="str">
        <x:v>2026-10-08（资料核对；并非所有项目重新官网复核）</x:v>
      </x:c>
      <x:c r="V58" s="30" t="str">
        <x:v>定位年度公告及申报截止日期</x:v>
      </x:c>
      <x:c r="W58" s="30" t="str">
        <x:v>官方2026公告已发布，页面内尚未核得截止日期</x:v>
      </x:c>
      <x:c r="X58" s="30" t="str">
        <x:v>共有基线v0.8</x:v>
      </x:c>
      <x:c r="Y58" s="30" t="str">
        <x:v>v0.8:M075</x:v>
      </x:c>
      <x:c r="Z58" s="30" t="str">
        <x:v>原编号保留</x:v>
      </x:c>
    </x:row>
    <x:row r="59" ht="36" customHeight="1">
      <x:c r="A59" s="30" t="str">
        <x:v>M084</x:v>
      </x:c>
      <x:c r="B59" s="30" t="str">
        <x:v>开放基金/课题候选</x:v>
      </x:c>
      <x:c r="C59" s="30" t="str">
        <x:v>武汉工程大学</x:v>
      </x:c>
      <x:c r="D59" s="30" t="str">
        <x:v>智能机器人湖北省重点实验室</x:v>
      </x:c>
      <x:c r="E59" s="30" t="str">
        <x:v>未核实</x:v>
      </x:c>
      <x:c r="F59" s="30" t="str">
        <x:v>日期不明·待核</x:v>
      </x:c>
      <x:c r="G59" s="30" t="str">
        <x:v>中</x:v>
      </x:c>
      <x:c r="H59" s="30" t="str">
        <x:v>机器人视觉、运动规划、智能控制、机器学习</x:v>
      </x:c>
      <x:c r="I59" s="30" t="str">
        <x:v>与面上项目科学内容匹配程度依方向摘要判断；正式选题须核指南</x:v>
      </x:c>
      <x:c r="J59" s="30" t="str">
        <x:v>校外开放5项/每项1万元/2年（历史记录）</x:v>
      </x:c>
      <x:c r="K59" s="30" t="str">
        <x:v>申请资格待核</x:v>
      </x:c>
      <x:c r="L59" s="30" t="str">
        <x:v>固定成员合作要求待核</x:v>
      </x:c>
      <x:c r="M59" s="30" t="str">
        <x:v>是否外拨待核</x:v>
      </x:c>
      <x:c r="N59" s="30" t="str">
        <x:v>研究周期待核</x:v>
      </x:c>
      <x:c r="O59" s="30" t="str">
        <x:v>成果与署名规则待核</x:v>
      </x:c>
      <x:c r="P59" s="30" t="str">
        <x:v>申请书、盖章及提交方式待核</x:v>
      </x:c>
      <x:c r="Q59" s="30" t="str">
        <x:v>https://robot.wit.edu.cn/info/1017/1532.htm</x:v>
      </x:c>
      <x:c r="R59" s="30" t="str">
        <x:v>https://robot.wit.edu.cn/info/1017/1532.htm</x:v>
      </x:c>
      <x:c r="S59" s="30" t="str">
        <x:v>仅继承来源信息/待核</x:v>
      </x:c>
      <x:c r="T59" s="30" t="str">
        <x:v>缺逐附件完成证据/不适用</x:v>
      </x:c>
      <x:c r="U59" s="30" t="str">
        <x:v>2026-10-08（资料核对；并非所有项目重新官网复核）</x:v>
      </x:c>
      <x:c r="V59" s="30" t="str">
        <x:v>定位年度公告及申报截止日期</x:v>
      </x:c>
      <x:c r="W59" s="30" t="str">
        <x:v>申请资格待核</x:v>
      </x:c>
      <x:c r="X59" s="30" t="str">
        <x:v>共有基线v0.8</x:v>
      </x:c>
      <x:c r="Y59" s="30" t="str">
        <x:v>v0.8:M084</x:v>
      </x:c>
      <x:c r="Z59" s="30" t="str">
        <x:v>原编号保留</x:v>
      </x:c>
    </x:row>
    <x:row r="60" ht="36" customHeight="1">
      <x:c r="A60" s="30" t="str">
        <x:v>M112</x:v>
      </x:c>
      <x:c r="B60" s="30" t="str">
        <x:v>开放基金/课题候选</x:v>
      </x:c>
      <x:c r="C60" s="30" t="str">
        <x:v>南昌大学</x:v>
      </x:c>
      <x:c r="D60" s="30" t="str">
        <x:v>智能机器人江西省重点实验室</x:v>
      </x:c>
      <x:c r="E60" s="30" t="str">
        <x:v>未核实</x:v>
      </x:c>
      <x:c r="F60" s="30" t="str">
        <x:v>仅机制/批次待核</x:v>
      </x:c>
      <x:c r="G60" s="30" t="str">
        <x:v>中</x:v>
      </x:c>
      <x:c r="H60" s="30" t="str">
        <x:v>智能机器人、运动控制、感知与交互</x:v>
      </x:c>
      <x:c r="I60" s="30" t="str">
        <x:v>与面上项目科学内容匹配程度依方向摘要判断；正式选题须核指南</x:v>
      </x:c>
      <x:c r="J60" s="30" t="str">
        <x:v>未记录／待核</x:v>
      </x:c>
      <x:c r="K60" s="30" t="str">
        <x:v>申请资格待核</x:v>
      </x:c>
      <x:c r="L60" s="30" t="str">
        <x:v>固定成员合作要求待核</x:v>
      </x:c>
      <x:c r="M60" s="30" t="str">
        <x:v>是否外拨待核</x:v>
      </x:c>
      <x:c r="N60" s="30" t="str">
        <x:v>研究周期待核</x:v>
      </x:c>
      <x:c r="O60" s="30" t="str">
        <x:v>成果与署名规则待核</x:v>
      </x:c>
      <x:c r="P60" s="30" t="str">
        <x:v>申请书、盖章及提交方式待核</x:v>
      </x:c>
      <x:c r="Q60" s="30" t="str">
        <x:v>https://jdgcxy.ncu.edu.cn/xwzx/tzgg/f268976adfb14c5aa8625c7930563f9f.htm</x:v>
      </x:c>
      <x:c r="R60" s="30" t="str"/>
      <x:c r="S60" s="30" t="str">
        <x:v>仅继承来源信息/待核</x:v>
      </x:c>
      <x:c r="T60" s="30" t="str">
        <x:v>缺逐附件完成证据/不适用</x:v>
      </x:c>
      <x:c r="U60" s="30" t="str">
        <x:v>2026-10-08（资料核对；并非所有项目重新官网复核）</x:v>
      </x:c>
      <x:c r="V60" s="30" t="str">
        <x:v>定位年度公告及申报截止日期</x:v>
      </x:c>
      <x:c r="W60" s="30" t="str">
        <x:v>申请资格待核</x:v>
      </x:c>
      <x:c r="X60" s="30" t="str">
        <x:v>共有基线v0.8</x:v>
      </x:c>
      <x:c r="Y60" s="30" t="str">
        <x:v>v0.8:M112</x:v>
      </x:c>
      <x:c r="Z60" s="30" t="str">
        <x:v>原编号保留</x:v>
      </x:c>
    </x:row>
    <x:row r="61" ht="36" customHeight="1">
      <x:c r="A61" s="30" t="str">
        <x:v>M115</x:v>
      </x:c>
      <x:c r="B61" s="30" t="str">
        <x:v>开放基金/课题候选</x:v>
      </x:c>
      <x:c r="C61" s="30" t="str">
        <x:v>同济大学</x:v>
      </x:c>
      <x:c r="D61" s="30" t="str">
        <x:v>自主智能无人系统全国重点实验室</x:v>
      </x:c>
      <x:c r="E61" s="30" t="str">
        <x:v>未核实</x:v>
      </x:c>
      <x:c r="F61" s="30" t="str">
        <x:v>日期不明·待核</x:v>
      </x:c>
      <x:c r="G61" s="30" t="str">
        <x:v>中</x:v>
      </x:c>
      <x:c r="H61" s="30" t="str">
        <x:v>自主智能机器人、无人系统、感知规划控制</x:v>
      </x:c>
      <x:c r="I61" s="30" t="str">
        <x:v>与面上项目科学内容匹配程度依方向摘要判断；正式选题须核指南</x:v>
      </x:c>
      <x:c r="J61" s="30" t="str">
        <x:v>未记录／待核</x:v>
      </x:c>
      <x:c r="K61" s="30" t="str">
        <x:v>申请资格待核</x:v>
      </x:c>
      <x:c r="L61" s="30" t="str">
        <x:v>固定成员合作要求待核</x:v>
      </x:c>
      <x:c r="M61" s="30" t="str">
        <x:v>是否外拨待核</x:v>
      </x:c>
      <x:c r="N61" s="30" t="str">
        <x:v>研究周期待核</x:v>
      </x:c>
      <x:c r="O61" s="30" t="str">
        <x:v>成果与署名规则待核</x:v>
      </x:c>
      <x:c r="P61" s="30" t="str">
        <x:v>申请书、盖章及提交方式待核</x:v>
      </x:c>
      <x:c r="Q61" s="30" t="str">
        <x:v>https://skl-ais.tongji.edu.cn/77/69/c32347a358249/page.htm</x:v>
      </x:c>
      <x:c r="R61" s="30" t="str"/>
      <x:c r="S61" s="30" t="str">
        <x:v>仅继承来源信息/待核</x:v>
      </x:c>
      <x:c r="T61" s="30" t="str">
        <x:v>缺逐附件完成证据/不适用</x:v>
      </x:c>
      <x:c r="U61" s="30" t="str">
        <x:v>2026-10-08（资料核对；并非所有项目重新官网复核）</x:v>
      </x:c>
      <x:c r="V61" s="30" t="str">
        <x:v>定位年度公告及申报截止日期</x:v>
      </x:c>
      <x:c r="W61" s="30" t="str">
        <x:v>申请资格待核</x:v>
      </x:c>
      <x:c r="X61" s="30" t="str">
        <x:v>共有基线v0.8</x:v>
      </x:c>
      <x:c r="Y61" s="30" t="str">
        <x:v>v0.8:M115</x:v>
      </x:c>
      <x:c r="Z61" s="30" t="str">
        <x:v>原编号保留</x:v>
      </x:c>
    </x:row>
    <x:row r="62" ht="36" customHeight="1">
      <x:c r="A62" s="30" t="str">
        <x:v>M116</x:v>
      </x:c>
      <x:c r="B62" s="30" t="str">
        <x:v>开放基金/课题候选</x:v>
      </x:c>
      <x:c r="C62" s="30" t="str">
        <x:v>吉林大学</x:v>
      </x:c>
      <x:c r="D62" s="30" t="str">
        <x:v>工程仿生教育部重点实验室</x:v>
      </x:c>
      <x:c r="E62" s="30" t="str">
        <x:v>未核实</x:v>
      </x:c>
      <x:c r="F62" s="30" t="str">
        <x:v>日期不明·待核</x:v>
      </x:c>
      <x:c r="G62" s="30" t="str">
        <x:v>中</x:v>
      </x:c>
      <x:c r="H62" s="30" t="str">
        <x:v>工程仿生、智能感知与机器人潜在交集</x:v>
      </x:c>
      <x:c r="I62" s="30" t="str">
        <x:v>与面上项目科学内容匹配程度依方向摘要判断；正式选题须核指南</x:v>
      </x:c>
      <x:c r="J62" s="30" t="str">
        <x:v>未记录／待核</x:v>
      </x:c>
      <x:c r="K62" s="30" t="str">
        <x:v>申请资格待核</x:v>
      </x:c>
      <x:c r="L62" s="30" t="str">
        <x:v>固定成员合作要求待核</x:v>
      </x:c>
      <x:c r="M62" s="30" t="str">
        <x:v>是否外拨待核</x:v>
      </x:c>
      <x:c r="N62" s="30" t="str">
        <x:v>研究周期待核</x:v>
      </x:c>
      <x:c r="O62" s="30" t="str">
        <x:v>成果与署名规则待核</x:v>
      </x:c>
      <x:c r="P62" s="30" t="str">
        <x:v>申请书、盖章及提交方式待核</x:v>
      </x:c>
      <x:c r="Q62" s="30" t="str">
        <x:v>https://bionic.jlu.edu.cn/info/1041/1662.htm</x:v>
      </x:c>
      <x:c r="R62" s="30" t="str"/>
      <x:c r="S62" s="30" t="str">
        <x:v>仅继承来源信息/待核</x:v>
      </x:c>
      <x:c r="T62" s="30" t="str">
        <x:v>缺逐附件完成证据/不适用</x:v>
      </x:c>
      <x:c r="U62" s="30" t="str">
        <x:v>2026-10-08（资料核对；并非所有项目重新官网复核）</x:v>
      </x:c>
      <x:c r="V62" s="30" t="str">
        <x:v>定位年度公告及申报截止日期</x:v>
      </x:c>
      <x:c r="W62" s="30" t="str">
        <x:v>申请资格待核</x:v>
      </x:c>
      <x:c r="X62" s="30" t="str">
        <x:v>共有基线v0.8</x:v>
      </x:c>
      <x:c r="Y62" s="30" t="str">
        <x:v>v0.8:M116</x:v>
      </x:c>
      <x:c r="Z62" s="30" t="str">
        <x:v>原编号保留</x:v>
      </x:c>
    </x:row>
    <x:row r="63" ht="36" customHeight="1">
      <x:c r="A63" s="30" t="str">
        <x:v>M119</x:v>
      </x:c>
      <x:c r="B63" s="30" t="str">
        <x:v>开放基金/课题候选</x:v>
      </x:c>
      <x:c r="C63" s="30" t="str">
        <x:v>清华大学</x:v>
      </x:c>
      <x:c r="D63" s="30" t="str">
        <x:v>互联网体系结构全国重点实验室</x:v>
      </x:c>
      <x:c r="E63" s="30" t="str">
        <x:v>未核实</x:v>
      </x:c>
      <x:c r="F63" s="30" t="str">
        <x:v>日期不明·待核</x:v>
      </x:c>
      <x:c r="G63" s="30" t="str">
        <x:v>中</x:v>
      </x:c>
      <x:c r="H63" s="30" t="str">
        <x:v>网络体系结构与安全等；机器人课题关联弱</x:v>
      </x:c>
      <x:c r="I63" s="30" t="str">
        <x:v>与面上项目科学内容匹配程度依方向摘要判断；正式选题须核指南</x:v>
      </x:c>
      <x:c r="J63" s="30" t="str">
        <x:v>未记录／待核</x:v>
      </x:c>
      <x:c r="K63" s="30" t="str">
        <x:v>申请资格待核</x:v>
      </x:c>
      <x:c r="L63" s="30" t="str">
        <x:v>固定成员合作要求待核</x:v>
      </x:c>
      <x:c r="M63" s="30" t="str">
        <x:v>是否外拨待核</x:v>
      </x:c>
      <x:c r="N63" s="30" t="str">
        <x:v>研究周期待核</x:v>
      </x:c>
      <x:c r="O63" s="30" t="str">
        <x:v>成果与署名规则待核</x:v>
      </x:c>
      <x:c r="P63" s="30" t="str">
        <x:v>申请书、盖章及提交方式待核</x:v>
      </x:c>
      <x:c r="Q63" s="30" t="str">
        <x:v>https://www.insc.tsinghua.edu.cn/info/1192/4432.htm</x:v>
      </x:c>
      <x:c r="R63" s="30" t="str"/>
      <x:c r="S63" s="30" t="str">
        <x:v>仅继承来源信息/待核</x:v>
      </x:c>
      <x:c r="T63" s="30" t="str">
        <x:v>缺逐附件完成证据/不适用</x:v>
      </x:c>
      <x:c r="U63" s="30" t="str">
        <x:v>2026-10-08（资料核对；并非所有项目重新官网复核）</x:v>
      </x:c>
      <x:c r="V63" s="30" t="str">
        <x:v>定位年度公告及申报截止日期</x:v>
      </x:c>
      <x:c r="W63" s="30" t="str">
        <x:v>申请资格待核</x:v>
      </x:c>
      <x:c r="X63" s="30" t="str">
        <x:v>共有基线v0.8</x:v>
      </x:c>
      <x:c r="Y63" s="30" t="str">
        <x:v>v0.8:M119</x:v>
      </x:c>
      <x:c r="Z63" s="30" t="str">
        <x:v>原编号保留</x:v>
      </x:c>
    </x:row>
    <x:row r="64" ht="36" customHeight="1">
      <x:c r="A64" s="30" t="str">
        <x:v>M181</x:v>
      </x:c>
      <x:c r="B64" s="30" t="str">
        <x:v>开放基金/课题候选</x:v>
      </x:c>
      <x:c r="C64" s="30" t="str">
        <x:v>南京邮电大学</x:v>
      </x:c>
      <x:c r="D64" s="30" t="str">
        <x:v>江苏省大数据安全与智能处理重点实验室</x:v>
      </x:c>
      <x:c r="E64" s="30" t="str">
        <x:v>未核实</x:v>
      </x:c>
      <x:c r="F64" s="30" t="str">
        <x:v>日期不明·待核</x:v>
      </x:c>
      <x:c r="G64" s="30" t="str">
        <x:v>中</x:v>
      </x:c>
      <x:c r="H64" s="30" t="str">
        <x:v>数据处理、智能感知、AI计算，与机器人多模态方法有交集</x:v>
      </x:c>
      <x:c r="I64" s="30" t="str">
        <x:v>与面上项目科学内容匹配程度依方向摘要判断；正式选题须核指南</x:v>
      </x:c>
      <x:c r="J64" s="30" t="str">
        <x:v>未记录／待核</x:v>
      </x:c>
      <x:c r="K64" s="30" t="str">
        <x:v>经费/申报资格/限制：须继续查看正式申报指南、申请资格和是否受理外单位人员</x:v>
      </x:c>
      <x:c r="L64" s="30" t="str">
        <x:v>固定成员合作要求待核</x:v>
      </x:c>
      <x:c r="M64" s="30" t="str">
        <x:v>是否外拨待核</x:v>
      </x:c>
      <x:c r="N64" s="30" t="str">
        <x:v>研究周期待核</x:v>
      </x:c>
      <x:c r="O64" s="30" t="str">
        <x:v>成果与署名规则待核</x:v>
      </x:c>
      <x:c r="P64" s="30" t="str">
        <x:v>申请书、盖章及提交方式待核</x:v>
      </x:c>
      <x:c r="Q64" s="30" t="str">
        <x:v>https://bdsip.njupt.edu.cn/kfkt/list.htm</x:v>
      </x:c>
      <x:c r="R64" s="30" t="str"/>
      <x:c r="S64" s="30" t="str">
        <x:v>仅继承来源信息/待核</x:v>
      </x:c>
      <x:c r="T64" s="30" t="str">
        <x:v>缺逐附件完成证据/不适用</x:v>
      </x:c>
      <x:c r="U64" s="30" t="str">
        <x:v>2026-10-08（资料核对；并非所有项目重新官网复核）</x:v>
      </x:c>
      <x:c r="V64" s="30" t="str">
        <x:v>定位年度公告及申报截止日期</x:v>
      </x:c>
      <x:c r="W64" s="30" t="str">
        <x:v>经费/申报资格/限制：须继续查看正式申报指南、申请资格和是否受理外单位人员</x:v>
      </x:c>
      <x:c r="X64" s="30" t="str">
        <x:v>共有基线v0.8</x:v>
      </x:c>
      <x:c r="Y64" s="30" t="str">
        <x:v>v0.8:M181</x:v>
      </x:c>
      <x:c r="Z64" s="30" t="str">
        <x:v>原编号保留</x:v>
      </x:c>
    </x:row>
    <x:row r="65" ht="36" customHeight="1">
      <x:c r="A65" s="30" t="str">
        <x:v>M010</x:v>
      </x:c>
      <x:c r="B65" s="30" t="str">
        <x:v>开放基金/课题候选</x:v>
      </x:c>
      <x:c r="C65" s="30" t="str">
        <x:v>中国科学院计算技术研究所</x:v>
      </x:c>
      <x:c r="D65" s="30" t="str">
        <x:v>处理器芯片全国重点实验室</x:v>
      </x:c>
      <x:c r="E65" s="30" t="str">
        <x:v>未核实</x:v>
      </x:c>
      <x:c r="F65" s="30" t="str">
        <x:v>日期不明·待核</x:v>
      </x:c>
      <x:c r="G65" s="30" t="str">
        <x:v>低</x:v>
      </x:c>
      <x:c r="H65" s="30" t="str">
        <x:v>具身VLA模型动作生成、实时高效推理；重点在芯片和算力</x:v>
      </x:c>
      <x:c r="I65" s="30" t="str">
        <x:v>与面上项目科学内容匹配程度依方向摘要判断；正式选题须核指南</x:v>
      </x:c>
      <x:c r="J65" s="30" t="str">
        <x:v>未记录／待核</x:v>
      </x:c>
      <x:c r="K65" s="30" t="str">
        <x:v>申请资格待核</x:v>
      </x:c>
      <x:c r="L65" s="30" t="str">
        <x:v>固定成员合作要求待核</x:v>
      </x:c>
      <x:c r="M65" s="30" t="str">
        <x:v>是否外拨待核</x:v>
      </x:c>
      <x:c r="N65" s="30" t="str">
        <x:v>研究周期待核</x:v>
      </x:c>
      <x:c r="O65" s="30" t="str">
        <x:v>成果与署名规则待核</x:v>
      </x:c>
      <x:c r="P65" s="30" t="str">
        <x:v>申请书、盖章及提交方式待核</x:v>
      </x:c>
      <x:c r="Q65" s="30" t="str">
        <x:v>https://sklp.ict.ac.cn/yxgl/kfkt/zntg/202606/t20260609_841349.html</x:v>
      </x:c>
      <x:c r="R65" s="30" t="str"/>
      <x:c r="S65" s="30" t="str">
        <x:v>仅继承来源信息/待核</x:v>
      </x:c>
      <x:c r="T65" s="30" t="str">
        <x:v>缺逐附件完成证据/不适用</x:v>
      </x:c>
      <x:c r="U65" s="30" t="str">
        <x:v>2026-10-08（资料核对；并非所有项目重新官网复核）</x:v>
      </x:c>
      <x:c r="V65" s="30" t="str">
        <x:v>定位年度公告及申报截止日期</x:v>
      </x:c>
      <x:c r="W65" s="30" t="str">
        <x:v>申请资格待核</x:v>
      </x:c>
      <x:c r="X65" s="30" t="str">
        <x:v>共有基线v0.8</x:v>
      </x:c>
      <x:c r="Y65" s="30" t="str">
        <x:v>v0.8:M010</x:v>
      </x:c>
      <x:c r="Z65" s="30" t="str">
        <x:v>原编号保留</x:v>
      </x:c>
    </x:row>
    <x:row r="66" ht="36" customHeight="1">
      <x:c r="A66" s="30" t="str">
        <x:v>M025</x:v>
      </x:c>
      <x:c r="B66" s="30" t="str">
        <x:v>开放基金/课题候选</x:v>
      </x:c>
      <x:c r="C66" s="30" t="str">
        <x:v>浙江大学</x:v>
      </x:c>
      <x:c r="D66" s="30" t="str">
        <x:v>工业控制技术全国重点实验室（湖控专项）</x:v>
      </x:c>
      <x:c r="E66" s="30" t="str">
        <x:v>未核实</x:v>
      </x:c>
      <x:c r="F66" s="30" t="str">
        <x:v>日期不明·待核</x:v>
      </x:c>
      <x:c r="G66" s="30" t="str">
        <x:v>低</x:v>
      </x:c>
      <x:c r="H66" s="30" t="str">
        <x:v>先进控制；智能动态优化；智能无人系统</x:v>
      </x:c>
      <x:c r="I66" s="30" t="str">
        <x:v>与面上项目科学内容匹配程度依方向摘要判断；正式选题须核指南</x:v>
      </x:c>
      <x:c r="J66" s="30" t="str">
        <x:v>未记录／待核</x:v>
      </x:c>
      <x:c r="K66" s="30" t="str">
        <x:v>湖控专项限湖州本地高校/企业，外部非湖州申请人通常不符合</x:v>
      </x:c>
      <x:c r="L66" s="30" t="str">
        <x:v>固定成员合作要求待核</x:v>
      </x:c>
      <x:c r="M66" s="30" t="str">
        <x:v>是否外拨待核</x:v>
      </x:c>
      <x:c r="N66" s="30" t="str">
        <x:v>研究周期待核</x:v>
      </x:c>
      <x:c r="O66" s="30" t="str">
        <x:v>成果与署名规则待核</x:v>
      </x:c>
      <x:c r="P66" s="30" t="str">
        <x:v>申请书、盖章及提交方式待核</x:v>
      </x:c>
      <x:c r="Q66" s="30" t="str">
        <x:v>https://sklict.zju.edu.cn/85587/list.htm</x:v>
      </x:c>
      <x:c r="R66" s="30" t="str"/>
      <x:c r="S66" s="30" t="str">
        <x:v>来源档案写明核过官网</x:v>
      </x:c>
      <x:c r="T66" s="30" t="str">
        <x:v>缺逐附件完成证据/不适用</x:v>
      </x:c>
      <x:c r="U66" s="30" t="str">
        <x:v>2026-10-08（资料核对；并非所有项目重新官网复核）</x:v>
      </x:c>
      <x:c r="V66" s="30" t="str">
        <x:v>定位年度公告及申报截止日期</x:v>
      </x:c>
      <x:c r="W66" s="30" t="str">
        <x:v>湖控专项限湖州本地高校/企业，外部非湖州申请人通常不符合</x:v>
      </x:c>
      <x:c r="X66" s="30" t="str">
        <x:v>共有基线v0.8</x:v>
      </x:c>
      <x:c r="Y66" s="30" t="str">
        <x:v>v0.8:M025</x:v>
      </x:c>
      <x:c r="Z66" s="30" t="str">
        <x:v>原编号保留</x:v>
      </x:c>
    </x:row>
    <x:row r="67" ht="36" customHeight="1">
      <x:c r="A67" s="30" t="str">
        <x:v>M028</x:v>
      </x:c>
      <x:c r="B67" s="30" t="str">
        <x:v>开放基金/课题候选</x:v>
      </x:c>
      <x:c r="C67" s="30" t="str">
        <x:v>华中科技大学</x:v>
      </x:c>
      <x:c r="D67" s="30" t="str">
        <x:v>强电磁技术全国重点实验室</x:v>
      </x:c>
      <x:c r="E67" s="30" t="str">
        <x:v>未核实</x:v>
      </x:c>
      <x:c r="F67" s="30" t="str">
        <x:v>仅机制/批次待核</x:v>
      </x:c>
      <x:c r="G67" s="30" t="str">
        <x:v>低</x:v>
      </x:c>
      <x:c r="H67" s="30" t="str">
        <x:v>动态耦合建模与控制；非线性系统优化（仅方法）</x:v>
      </x:c>
      <x:c r="I67" s="30" t="str">
        <x:v>与面上项目科学内容匹配程度依方向摘要判断；正式选题须核指南</x:v>
      </x:c>
      <x:c r="J67" s="30" t="str">
        <x:v>未记录／待核</x:v>
      </x:c>
      <x:c r="K67" s="30" t="str">
        <x:v>指南课题主题为强电磁装置，与医疗机器人应用差异大</x:v>
      </x:c>
      <x:c r="L67" s="30" t="str">
        <x:v>固定成员合作要求待核</x:v>
      </x:c>
      <x:c r="M67" s="30" t="str">
        <x:v>是否外拨待核</x:v>
      </x:c>
      <x:c r="N67" s="30" t="str">
        <x:v>研究周期待核</x:v>
      </x:c>
      <x:c r="O67" s="30" t="str">
        <x:v>成果与署名规则待核</x:v>
      </x:c>
      <x:c r="P67" s="30" t="str">
        <x:v>申请书、盖章及提交方式待核</x:v>
      </x:c>
      <x:c r="Q67" s="30" t="str">
        <x:v>https://seee.hust.edu.cn/seee/info/1062/19373.htm</x:v>
      </x:c>
      <x:c r="R67" s="30" t="str"/>
      <x:c r="S67" s="30" t="str">
        <x:v>来源档案写明核过官网</x:v>
      </x:c>
      <x:c r="T67" s="30" t="str">
        <x:v>缺逐附件完成证据/不适用</x:v>
      </x:c>
      <x:c r="U67" s="30" t="str">
        <x:v>2026-10-08（资料核对；并非所有项目重新官网复核）</x:v>
      </x:c>
      <x:c r="V67" s="30" t="str">
        <x:v>定位年度公告及申报截止日期</x:v>
      </x:c>
      <x:c r="W67" s="30" t="str">
        <x:v>指南课题主题为强电磁装置，与医疗机器人应用差异大</x:v>
      </x:c>
      <x:c r="X67" s="30" t="str">
        <x:v>共有基线v0.8</x:v>
      </x:c>
      <x:c r="Y67" s="30" t="str">
        <x:v>v0.8:M028</x:v>
      </x:c>
      <x:c r="Z67" s="30" t="str">
        <x:v>原编号保留</x:v>
      </x:c>
    </x:row>
    <x:row r="68" ht="36" customHeight="1">
      <x:c r="A68" s="30" t="str">
        <x:v>M032</x:v>
      </x:c>
      <x:c r="B68" s="30" t="str">
        <x:v>开放基金/课题候选</x:v>
      </x:c>
      <x:c r="C68" s="30" t="str">
        <x:v>沈阳化工大学科技处转发</x:v>
      </x:c>
      <x:c r="D68" s="30" t="str">
        <x:v>煤炭智能开采与岩层控制全国重点实验室</x:v>
      </x:c>
      <x:c r="E68" s="30" t="str">
        <x:v>未核实</x:v>
      </x:c>
      <x:c r="F68" s="30" t="str">
        <x:v>日期不明·待核</x:v>
      </x:c>
      <x:c r="G68" s="30" t="str">
        <x:v>低</x:v>
      </x:c>
      <x:c r="H68" s="30" t="str">
        <x:v>柔顺阻抗自适应控制；非线性接触动力学；扰动补偿</x:v>
      </x:c>
      <x:c r="I68" s="30" t="str">
        <x:v>与面上项目科学内容匹配程度依方向摘要判断；正式选题须核指南</x:v>
      </x:c>
      <x:c r="J68" s="30" t="str">
        <x:v>未记录／待核</x:v>
      </x:c>
      <x:c r="K68" s="30" t="str">
        <x:v>转发页；实际依托单位待核；矿业特定场景</x:v>
      </x:c>
      <x:c r="L68" s="30" t="str">
        <x:v>固定成员合作要求待核</x:v>
      </x:c>
      <x:c r="M68" s="30" t="str">
        <x:v>是否外拨待核</x:v>
      </x:c>
      <x:c r="N68" s="30" t="str">
        <x:v>研究周期待核</x:v>
      </x:c>
      <x:c r="O68" s="30" t="str">
        <x:v>成果与署名规则待核</x:v>
      </x:c>
      <x:c r="P68" s="30" t="str">
        <x:v>申请书、盖章及提交方式待核</x:v>
      </x:c>
      <x:c r="Q68" s="30" t="str">
        <x:v>https://keyanchu.syuct.edu.cn/info/1028/1957.htm</x:v>
      </x:c>
      <x:c r="R68" s="30" t="str">
        <x:v>https://keyanchu.syuct.edu.cn/info/1028/1957.htm</x:v>
      </x:c>
      <x:c r="S68" s="30" t="str">
        <x:v>来源档案写明核过官网</x:v>
      </x:c>
      <x:c r="T68" s="30" t="str">
        <x:v>缺逐附件完成证据/不适用</x:v>
      </x:c>
      <x:c r="U68" s="30" t="str">
        <x:v>2026-10-08（资料核对；并非所有项目重新官网复核）</x:v>
      </x:c>
      <x:c r="V68" s="30" t="str">
        <x:v>定位年度公告及申报截止日期</x:v>
      </x:c>
      <x:c r="W68" s="30" t="str">
        <x:v>转发页；实际依托单位待核；矿业特定场景</x:v>
      </x:c>
      <x:c r="X68" s="30" t="str">
        <x:v>共有基线v0.8</x:v>
      </x:c>
      <x:c r="Y68" s="30" t="str">
        <x:v>v0.8:M032</x:v>
      </x:c>
      <x:c r="Z68" s="30" t="str">
        <x:v>原编号保留</x:v>
      </x:c>
    </x:row>
    <x:row r="69" ht="36" customHeight="1">
      <x:c r="A69" s="30" t="str">
        <x:v>M044</x:v>
      </x:c>
      <x:c r="B69" s="30" t="str">
        <x:v>开放基金/课题候选</x:v>
      </x:c>
      <x:c r="C69" s="30" t="str">
        <x:v>新疆工程学院</x:v>
      </x:c>
      <x:c r="D69" s="30" t="str">
        <x:v>新疆煤炭资源绿色开采教育部重点实验室</x:v>
      </x:c>
      <x:c r="E69" s="30" t="str">
        <x:v>未核实</x:v>
      </x:c>
      <x:c r="F69" s="30" t="str">
        <x:v>日期不明·待核</x:v>
      </x:c>
      <x:c r="G69" s="30" t="str">
        <x:v>低</x:v>
      </x:c>
      <x:c r="H69" s="30" t="str">
        <x:v>智能化开采；矿山设备控制；复杂系统感知</x:v>
      </x:c>
      <x:c r="I69" s="30" t="str">
        <x:v>与面上项目科学内容匹配程度依方向摘要判断；正式选题须核指南</x:v>
      </x:c>
      <x:c r="J69" s="30" t="str">
        <x:v>未记录／待核</x:v>
      </x:c>
      <x:c r="K69" s="30" t="str">
        <x:v>矿业方向约束</x:v>
      </x:c>
      <x:c r="L69" s="30" t="str">
        <x:v>固定成员合作要求待核</x:v>
      </x:c>
      <x:c r="M69" s="30" t="str">
        <x:v>是否外拨待核</x:v>
      </x:c>
      <x:c r="N69" s="30" t="str">
        <x:v>研究周期待核</x:v>
      </x:c>
      <x:c r="O69" s="30" t="str">
        <x:v>成果与署名规则待核</x:v>
      </x:c>
      <x:c r="P69" s="30" t="str">
        <x:v>申请书、盖章及提交方式待核</x:v>
      </x:c>
      <x:c r="Q69" s="30" t="str">
        <x:v>https://www.xjie.edu.cn/info/1061/15798.htm</x:v>
      </x:c>
      <x:c r="R69" s="30" t="str"/>
      <x:c r="S69" s="30" t="str">
        <x:v>来源档案写明核过官网</x:v>
      </x:c>
      <x:c r="T69" s="30" t="str">
        <x:v>缺逐附件完成证据/不适用</x:v>
      </x:c>
      <x:c r="U69" s="30" t="str">
        <x:v>2026-10-08（资料核对；并非所有项目重新官网复核）</x:v>
      </x:c>
      <x:c r="V69" s="30" t="str">
        <x:v>定位年度公告及申报截止日期</x:v>
      </x:c>
      <x:c r="W69" s="30" t="str">
        <x:v>矿业方向约束</x:v>
      </x:c>
      <x:c r="X69" s="30" t="str">
        <x:v>共有基线v0.8</x:v>
      </x:c>
      <x:c r="Y69" s="30" t="str">
        <x:v>v0.8:M044</x:v>
      </x:c>
      <x:c r="Z69" s="30" t="str">
        <x:v>原编号保留</x:v>
      </x:c>
    </x:row>
    <x:row r="70" ht="36" customHeight="1">
      <x:c r="A70" s="30" t="str">
        <x:v>M054</x:v>
      </x:c>
      <x:c r="B70" s="30" t="str">
        <x:v>开放基金/课题候选</x:v>
      </x:c>
      <x:c r="C70" s="30" t="str">
        <x:v>青海大学</x:v>
      </x:c>
      <x:c r="D70" s="30" t="str">
        <x:v>新能源电力系统智慧运行教育部重点实验室</x:v>
      </x:c>
      <x:c r="E70" s="30" t="str">
        <x:v>未核实</x:v>
      </x:c>
      <x:c r="F70" s="30" t="str">
        <x:v>日期不明·待核</x:v>
      </x:c>
      <x:c r="G70" s="30" t="str">
        <x:v>低</x:v>
      </x:c>
      <x:c r="H70" s="30" t="str">
        <x:v>智能控制与复杂系统动态优化；机理模型与数据融合</x:v>
      </x:c>
      <x:c r="I70" s="30" t="str">
        <x:v>与面上项目科学内容匹配程度依方向摘要判断；正式选题须核指南</x:v>
      </x:c>
      <x:c r="J70" s="30" t="str">
        <x:v>未记录／待核</x:v>
      </x:c>
      <x:c r="K70" s="30" t="str">
        <x:v>非机器人方向；内部合作，经费不外拨；需官网原始通知</x:v>
      </x:c>
      <x:c r="L70" s="30" t="str">
        <x:v>固定成员合作要求待核</x:v>
      </x:c>
      <x:c r="M70" s="30" t="str">
        <x:v>是否外拨待核</x:v>
      </x:c>
      <x:c r="N70" s="30" t="str">
        <x:v>研究周期待核</x:v>
      </x:c>
      <x:c r="O70" s="30" t="str">
        <x:v>成果与署名规则待核</x:v>
      </x:c>
      <x:c r="P70" s="30" t="str">
        <x:v>申请书、盖章及提交方式待核</x:v>
      </x:c>
      <x:c r="Q70" s="30" t="str">
        <x:v>https://www.iktbl.com/?p=4981</x:v>
      </x:c>
      <x:c r="R70" s="30" t="str"/>
      <x:c r="S70" s="30" t="str">
        <x:v>来源档案写明核过官网</x:v>
      </x:c>
      <x:c r="T70" s="30" t="str">
        <x:v>缺逐附件完成证据/不适用</x:v>
      </x:c>
      <x:c r="U70" s="30" t="str">
        <x:v>2026-10-08（资料核对；并非所有项目重新官网复核）</x:v>
      </x:c>
      <x:c r="V70" s="30" t="str">
        <x:v>定位年度公告及申报截止日期</x:v>
      </x:c>
      <x:c r="W70" s="30" t="str">
        <x:v>非机器人方向；内部合作，经费不外拨；需官网原始通知</x:v>
      </x:c>
      <x:c r="X70" s="30" t="str">
        <x:v>共有基线v0.8</x:v>
      </x:c>
      <x:c r="Y70" s="30" t="str">
        <x:v>v0.8:M054</x:v>
      </x:c>
      <x:c r="Z70" s="30" t="str">
        <x:v>原编号保留</x:v>
      </x:c>
    </x:row>
    <x:row r="71" ht="36" customHeight="1">
      <x:c r="A71" s="30" t="str">
        <x:v>M117</x:v>
      </x:c>
      <x:c r="B71" s="30" t="str">
        <x:v>开放基金/课题候选</x:v>
      </x:c>
      <x:c r="C71" s="30" t="str">
        <x:v>吉林大学</x:v>
      </x:c>
      <x:c r="D71" s="30" t="str">
        <x:v>汽车底盘集成与仿生全国重点实验室</x:v>
      </x:c>
      <x:c r="E71" s="30" t="str">
        <x:v>未核实</x:v>
      </x:c>
      <x:c r="F71" s="30" t="str">
        <x:v>日期不明·待核</x:v>
      </x:c>
      <x:c r="G71" s="30" t="str">
        <x:v>低</x:v>
      </x:c>
      <x:c r="H71" s="30" t="str">
        <x:v>运动控制、智能系统、仿生；汽车领域限定</x:v>
      </x:c>
      <x:c r="I71" s="30" t="str">
        <x:v>与面上项目科学内容匹配程度依方向摘要判断；正式选题须核指南</x:v>
      </x:c>
      <x:c r="J71" s="30" t="str">
        <x:v>未记录／待核</x:v>
      </x:c>
      <x:c r="K71" s="30" t="str">
        <x:v>申请资格待核</x:v>
      </x:c>
      <x:c r="L71" s="30" t="str">
        <x:v>固定成员合作要求待核</x:v>
      </x:c>
      <x:c r="M71" s="30" t="str">
        <x:v>是否外拨待核</x:v>
      </x:c>
      <x:c r="N71" s="30" t="str">
        <x:v>研究周期待核</x:v>
      </x:c>
      <x:c r="O71" s="30" t="str">
        <x:v>成果与署名规则待核</x:v>
      </x:c>
      <x:c r="P71" s="30" t="str">
        <x:v>申请书、盖章及提交方式待核</x:v>
      </x:c>
      <x:c r="Q71" s="30" t="str">
        <x:v>https://www.ascl.jlu.edu.cn/info/1041/1563.htm</x:v>
      </x:c>
      <x:c r="R71" s="30" t="str"/>
      <x:c r="S71" s="30" t="str">
        <x:v>仅继承来源信息/待核</x:v>
      </x:c>
      <x:c r="T71" s="30" t="str">
        <x:v>缺逐附件完成证据/不适用</x:v>
      </x:c>
      <x:c r="U71" s="30" t="str">
        <x:v>2026-10-08（资料核对；并非所有项目重新官网复核）</x:v>
      </x:c>
      <x:c r="V71" s="30" t="str">
        <x:v>定位年度公告及申报截止日期</x:v>
      </x:c>
      <x:c r="W71" s="30" t="str">
        <x:v>申请资格待核</x:v>
      </x:c>
      <x:c r="X71" s="30" t="str">
        <x:v>共有基线v0.8</x:v>
      </x:c>
      <x:c r="Y71" s="30" t="str">
        <x:v>v0.8:M117</x:v>
      </x:c>
      <x:c r="Z71" s="30" t="str">
        <x:v>原编号保留</x:v>
      </x:c>
    </x:row>
    <x:row r="72" ht="36" customHeight="1">
      <x:c r="A72" s="30" t="str">
        <x:v>M135</x:v>
      </x:c>
      <x:c r="B72" s="30" t="str">
        <x:v>开放基金/课题候选</x:v>
      </x:c>
      <x:c r="C72" s="30" t="str">
        <x:v>四川·西华大学</x:v>
      </x:c>
      <x:c r="D72" s="30" t="str">
        <x:v>流体及动力机械教育部重点实验室及相关两平台共享2026开放课题线索</x:v>
      </x:c>
      <x:c r="E72" s="30" t="str">
        <x:v>未核实</x:v>
      </x:c>
      <x:c r="F72" s="30" t="str">
        <x:v>日期不明·待核</x:v>
      </x:c>
      <x:c r="G72" s="30" t="str">
        <x:v>低</x:v>
      </x:c>
      <x:c r="H72" s="30" t="str">
        <x:v>方向/边界：流体动力学、动力装备智能控制；主要研究对象为能源与流体机械</x:v>
      </x:c>
      <x:c r="I72" s="30" t="str">
        <x:v>与面上项目科学内容匹配程度依方向摘要判断；正式选题须核指南</x:v>
      </x:c>
      <x:c r="J72" s="30" t="str">
        <x:v>未记录／待核</x:v>
      </x:c>
      <x:c r="K72" s="30" t="str">
        <x:v>资助/资格/证据：搜索摘要识别校级开放课题相关公告，官网返回412；未核附件和截止日期</x:v>
      </x:c>
      <x:c r="L72" s="30" t="str">
        <x:v>固定成员合作要求待核</x:v>
      </x:c>
      <x:c r="M72" s="30" t="str">
        <x:v>是否外拨待核</x:v>
      </x:c>
      <x:c r="N72" s="30" t="str">
        <x:v>研究周期待核</x:v>
      </x:c>
      <x:c r="O72" s="30" t="str">
        <x:v>成果与署名规则待核</x:v>
      </x:c>
      <x:c r="P72" s="30" t="str">
        <x:v>申请书、盖章及提交方式待核</x:v>
      </x:c>
      <x:c r="Q72" s="30" t="str">
        <x:v>https://klab.xhu.edu.cn/9e/eb/c2100a237291/page.htm</x:v>
      </x:c>
      <x:c r="R72" s="30" t="str"/>
      <x:c r="S72" s="30" t="str">
        <x:v>仅继承来源信息/待核</x:v>
      </x:c>
      <x:c r="T72" s="30" t="str">
        <x:v>缺逐附件完成证据/不适用</x:v>
      </x:c>
      <x:c r="U72" s="30" t="str">
        <x:v>2026-10-08（资料核对；并非所有项目重新官网复核）</x:v>
      </x:c>
      <x:c r="V72" s="30" t="str">
        <x:v>定位年度公告及申报截止日期</x:v>
      </x:c>
      <x:c r="W72" s="30" t="str">
        <x:v>资助/资格/证据：搜索摘要识别校级开放课题相关公告，官网返回412；未核附件和截止日期</x:v>
      </x:c>
      <x:c r="X72" s="30" t="str">
        <x:v>共有基线v0.8</x:v>
      </x:c>
      <x:c r="Y72" s="30" t="str">
        <x:v>v0.8:M135</x:v>
      </x:c>
      <x:c r="Z72" s="30" t="str">
        <x:v>原编号保留</x:v>
      </x:c>
    </x:row>
    <x:row r="73" ht="36" customHeight="1">
      <x:c r="A73" s="30" t="str">
        <x:v>M179</x:v>
      </x:c>
      <x:c r="B73" s="30" t="str">
        <x:v>开放基金/课题候选</x:v>
      </x:c>
      <x:c r="C73" s="30" t="str">
        <x:v>南京大学</x:v>
      </x:c>
      <x:c r="D73" s="30" t="str">
        <x:v>生命分析化学全国重点实验室</x:v>
      </x:c>
      <x:c r="E73" s="30" t="str">
        <x:v>未核实</x:v>
      </x:c>
      <x:c r="F73" s="30" t="str">
        <x:v>日期不明·待核</x:v>
      </x:c>
      <x:c r="G73" s="30" t="str">
        <x:v>低</x:v>
      </x:c>
      <x:c r="H73" s="30" t="str">
        <x:v>生物分析、医学分析技术；超声图像与临床诊疗仅间接相关</x:v>
      </x:c>
      <x:c r="I73" s="30" t="str">
        <x:v>与面上项目科学内容匹配程度依方向摘要判断；正式选题须核指南</x:v>
      </x:c>
      <x:c r="J73" s="30" t="str">
        <x:v>未记录／待核</x:v>
      </x:c>
      <x:c r="K73" s="30" t="str">
        <x:v>经费/申报资格/限制：官网称每年10月启动、12月底结束，但不是特定2026年申报指南；不得据此认定本年度已开放</x:v>
      </x:c>
      <x:c r="L73" s="30" t="str">
        <x:v>固定成员合作要求待核</x:v>
      </x:c>
      <x:c r="M73" s="30" t="str">
        <x:v>是否外拨待核</x:v>
      </x:c>
      <x:c r="N73" s="30" t="str">
        <x:v>研究周期待核</x:v>
      </x:c>
      <x:c r="O73" s="30" t="str">
        <x:v>成果与署名规则待核</x:v>
      </x:c>
      <x:c r="P73" s="30" t="str">
        <x:v>申请书、盖章及提交方式待核</x:v>
      </x:c>
      <x:c r="Q73" s="30" t="str">
        <x:v>https://sklac.nju.edu.cn/fc/a5/c34723a588965/page.htm</x:v>
      </x:c>
      <x:c r="R73" s="30" t="str"/>
      <x:c r="S73" s="30" t="str">
        <x:v>仅继承来源信息/待核</x:v>
      </x:c>
      <x:c r="T73" s="30" t="str">
        <x:v>缺逐附件完成证据/不适用</x:v>
      </x:c>
      <x:c r="U73" s="30" t="str">
        <x:v>2026-10-08（资料核对；并非所有项目重新官网复核）</x:v>
      </x:c>
      <x:c r="V73" s="30" t="str">
        <x:v>定位年度公告及申报截止日期</x:v>
      </x:c>
      <x:c r="W73" s="30" t="str">
        <x:v>经费/申报资格/限制：官网称每年10月启动、12月底结束，但不是特定2026年申报指南；不得据此认定本年度已开放</x:v>
      </x:c>
      <x:c r="X73" s="30" t="str">
        <x:v>共有基线v0.8</x:v>
      </x:c>
      <x:c r="Y73" s="30" t="str">
        <x:v>v0.8:M179</x:v>
      </x:c>
      <x:c r="Z73" s="30" t="str">
        <x:v>原编号保留</x:v>
      </x:c>
    </x:row>
    <x:row r="74" ht="36" customHeight="1">
      <x:c r="A74" s="30" t="str">
        <x:v>M180</x:v>
      </x:c>
      <x:c r="B74" s="30" t="str">
        <x:v>开放基金/课题候选</x:v>
      </x:c>
      <x:c r="C74" s="30" t="str">
        <x:v>江南大学</x:v>
      </x:c>
      <x:c r="D74" s="30" t="str">
        <x:v>生态纺织教育部重点实验室</x:v>
      </x:c>
      <x:c r="E74" s="30" t="str">
        <x:v>未核实</x:v>
      </x:c>
      <x:c r="F74" s="30" t="str">
        <x:v>日期不明·待核</x:v>
      </x:c>
      <x:c r="G74" s="30" t="str">
        <x:v>低</x:v>
      </x:c>
      <x:c r="H74" s="30" t="str">
        <x:v>柔性纺织材料、机械测量，远离超声机器人核心场景</x:v>
      </x:c>
      <x:c r="I74" s="30" t="str">
        <x:v>与面上项目科学内容匹配程度依方向摘要判断；正式选题须核指南</x:v>
      </x:c>
      <x:c r="J74" s="30" t="str">
        <x:v>未记录／待核</x:v>
      </x:c>
      <x:c r="K74" s="30" t="str">
        <x:v>经费/申报资格/限制：长期管理办法载申报期；需要查询2026正式公告和当年具体指南</x:v>
      </x:c>
      <x:c r="L74" s="30" t="str">
        <x:v>固定成员合作要求待核</x:v>
      </x:c>
      <x:c r="M74" s="30" t="str">
        <x:v>是否外拨待核</x:v>
      </x:c>
      <x:c r="N74" s="30" t="str">
        <x:v>研究周期待核</x:v>
      </x:c>
      <x:c r="O74" s="30" t="str">
        <x:v>成果与署名规则待核</x:v>
      </x:c>
      <x:c r="P74" s="30" t="str">
        <x:v>申请书、盖章及提交方式待核</x:v>
      </x:c>
      <x:c r="Q74" s="30" t="str">
        <x:v>https://klet.jiangnan.edu.cn/gzzd/stfzjybzdsys_jndx_kfktglbf.htm</x:v>
      </x:c>
      <x:c r="R74" s="30" t="str"/>
      <x:c r="S74" s="30" t="str">
        <x:v>仅继承来源信息/待核</x:v>
      </x:c>
      <x:c r="T74" s="30" t="str">
        <x:v>缺逐附件完成证据/不适用</x:v>
      </x:c>
      <x:c r="U74" s="30" t="str">
        <x:v>2026-10-08（资料核对；并非所有项目重新官网复核）</x:v>
      </x:c>
      <x:c r="V74" s="30" t="str">
        <x:v>定位年度公告及申报截止日期</x:v>
      </x:c>
      <x:c r="W74" s="30" t="str">
        <x:v>经费/申报资格/限制：长期管理办法载申报期；需要查询2026正式公告和当年具体指南</x:v>
      </x:c>
      <x:c r="X74" s="30" t="str">
        <x:v>共有基线v0.8</x:v>
      </x:c>
      <x:c r="Y74" s="30" t="str">
        <x:v>v0.8:M180</x:v>
      </x:c>
      <x:c r="Z74" s="30" t="str">
        <x:v>原编号保留</x:v>
      </x:c>
    </x:row>
    <x:row r="75" ht="36" customHeight="1">
      <x:c r="A75" s="30" t="str">
        <x:v>M182</x:v>
      </x:c>
      <x:c r="B75" s="30" t="str">
        <x:v>开放基金/课题候选</x:v>
      </x:c>
      <x:c r="C75" s="30" t="str">
        <x:v>澳门科技大学</x:v>
      </x:c>
      <x:c r="D75" s="30" t="str">
        <x:v>月球与行星科学国家重点实验室</x:v>
      </x:c>
      <x:c r="E75" s="30" t="str">
        <x:v>未核实</x:v>
      </x:c>
      <x:c r="F75" s="30" t="str">
        <x:v>日期不明·待核</x:v>
      </x:c>
      <x:c r="G75" s="30" t="str">
        <x:v>低</x:v>
      </x:c>
      <x:c r="H75" s="30" t="str">
        <x:v>智能探测、空间数据分析；月球行星科研方向，与超声机器人相差很大</x:v>
      </x:c>
      <x:c r="I75" s="30" t="str">
        <x:v>与面上项目科学内容匹配程度依方向摘要判断；正式选题须核指南</x:v>
      </x:c>
      <x:c r="J75" s="30" t="str">
        <x:v>未记录／待核</x:v>
      </x:c>
      <x:c r="K75" s="30" t="str">
        <x:v>经费/申报资格/限制：学校官网有开放课题入口，但本轮未查出具体有效的2026/2027申请指南；不列当前机会</x:v>
      </x:c>
      <x:c r="L75" s="30" t="str">
        <x:v>固定成员合作要求待核</x:v>
      </x:c>
      <x:c r="M75" s="30" t="str">
        <x:v>是否外拨待核</x:v>
      </x:c>
      <x:c r="N75" s="30" t="str">
        <x:v>研究周期待核</x:v>
      </x:c>
      <x:c r="O75" s="30" t="str">
        <x:v>成果与署名规则待核</x:v>
      </x:c>
      <x:c r="P75" s="30" t="str">
        <x:v>申请书、盖章及提交方式待核</x:v>
      </x:c>
      <x:c r="Q75" s="30" t="str">
        <x:v>https://www.must.edu.mo/ssi/course/phd-application</x:v>
      </x:c>
      <x:c r="R75" s="30" t="str"/>
      <x:c r="S75" s="30" t="str">
        <x:v>仅继承来源信息/待核</x:v>
      </x:c>
      <x:c r="T75" s="30" t="str">
        <x:v>缺逐附件完成证据/不适用</x:v>
      </x:c>
      <x:c r="U75" s="30" t="str">
        <x:v>2026-10-08（资料核对；并非所有项目重新官网复核）</x:v>
      </x:c>
      <x:c r="V75" s="30" t="str">
        <x:v>定位年度公告及申报截止日期</x:v>
      </x:c>
      <x:c r="W75" s="30" t="str">
        <x:v>经费/申报资格/限制：学校官网有开放课题入口，但本轮未查出具体有效的2026/2027申请指南；不列当前机会</x:v>
      </x:c>
      <x:c r="X75" s="30" t="str">
        <x:v>共有基线v0.8</x:v>
      </x:c>
      <x:c r="Y75" s="30" t="str">
        <x:v>v0.8:M182</x:v>
      </x:c>
      <x:c r="Z75" s="30" t="str">
        <x:v>原编号保留</x:v>
      </x:c>
    </x:row>
    <x:row r="76" ht="36" customHeight="1">
      <x:c r="A76" s="30" t="str">
        <x:v>M189</x:v>
      </x:c>
      <x:c r="B76" s="30" t="str">
        <x:v>开放基金/课题候选</x:v>
      </x:c>
      <x:c r="C76" s="30" t="str">
        <x:v>重庆大学</x:v>
      </x:c>
      <x:c r="D76" s="30" t="str">
        <x:v>山区土木工程安全与韧性全国重点实验室</x:v>
      </x:c>
      <x:c r="E76" s="30" t="str">
        <x:v>未核实</x:v>
      </x:c>
      <x:c r="F76" s="30" t="str">
        <x:v>日期不明·待核</x:v>
      </x:c>
      <x:c r="G76" s="30" t="str">
        <x:v>低</x:v>
      </x:c>
      <x:c r="H76" s="30" t="str">
        <x:v>与申请书的匹配方向：山区智能建造装备及机器人、智能材料与系统、安全监测；强制土木工程应用背景</x:v>
      </x:c>
      <x:c r="I76" s="30" t="str">
        <x:v>与面上项目科学内容匹配程度依方向摘要判断；正式选题须核指南</x:v>
      </x:c>
      <x:c r="J76" s="30" t="str">
        <x:v>未记录／待核</x:v>
      </x:c>
      <x:c r="K76" s="30" t="str">
        <x:v>申请资格、合作与成果限制：外部申请条件需看完整年度指南</x:v>
      </x:c>
      <x:c r="L76" s="30" t="str">
        <x:v>固定成员合作要求待核</x:v>
      </x:c>
      <x:c r="M76" s="30" t="str">
        <x:v>是否外拨待核</x:v>
      </x:c>
      <x:c r="N76" s="30" t="str">
        <x:v>研究周期待核</x:v>
      </x:c>
      <x:c r="O76" s="30" t="str">
        <x:v>成果与署名规则待核</x:v>
      </x:c>
      <x:c r="P76" s="30" t="str">
        <x:v>申请书、盖章及提交方式待核</x:v>
      </x:c>
      <x:c r="Q76" s="30" t="str">
        <x:v>https://civil.cqu.edu.cn/info/1327/17713.htm</x:v>
      </x:c>
      <x:c r="R76" s="30" t="str"/>
      <x:c r="S76" s="30" t="str">
        <x:v>仅继承来源信息/待核</x:v>
      </x:c>
      <x:c r="T76" s="30" t="str">
        <x:v>缺逐附件完成证据/不适用</x:v>
      </x:c>
      <x:c r="U76" s="30" t="str">
        <x:v>2026-10-08（资料核对；并非所有项目重新官网复核）</x:v>
      </x:c>
      <x:c r="V76" s="30" t="str">
        <x:v>定位年度公告及申报截止日期</x:v>
      </x:c>
      <x:c r="W76" s="30" t="str">
        <x:v>申请资格、合作与成果限制：外部申请条件需看完整年度指南</x:v>
      </x:c>
      <x:c r="X76" s="30" t="str">
        <x:v>本对话 v0.9</x:v>
      </x:c>
      <x:c r="Y76" s="30" t="str">
        <x:v>本对话v0.9:M189</x:v>
      </x:c>
      <x:c r="Z76" s="30" t="str">
        <x:v>保留原编号（该编号在另一对话冲突）</x:v>
      </x:c>
    </x:row>
    <x:row r="77" ht="36" customHeight="1">
      <x:c r="A77" s="30" t="str">
        <x:v>M194</x:v>
      </x:c>
      <x:c r="B77" s="30" t="str">
        <x:v>开放基金/课题候选</x:v>
      </x:c>
      <x:c r="C77" s="30" t="str">
        <x:v>南京大学</x:v>
      </x:c>
      <x:c r="D77" s="30" t="str">
        <x:v>固体微结构物理国家重点实验室</x:v>
      </x:c>
      <x:c r="E77" s="30" t="str">
        <x:v>未核实</x:v>
      </x:c>
      <x:c r="F77" s="30" t="str">
        <x:v>日期不明·待核</x:v>
      </x:c>
      <x:c r="G77" s="30" t="str">
        <x:v>低</x:v>
      </x:c>
      <x:c r="H77" s="30" t="str">
        <x:v>物理、材料微结构为主，与超声机器人现有科学问题匹配较低；按广泛发现原则收录，非申报优先。</x:v>
      </x:c>
      <x:c r="I77" s="30" t="str">
        <x:v>与面上项目科学内容匹配程度依方向摘要判断；正式选题须核指南</x:v>
      </x:c>
      <x:c r="J77" s="30" t="str">
        <x:v>2026-11-10 | 苏州大学·江苏省高校通用人工智能与大模型重点实验室（原有记录） | 方向：机器人具身智能、多模态、感知—决策—执行（历史记录）</x:v>
      </x:c>
      <x:c r="K77" s="30" t="str">
        <x:v>申请资格待核</x:v>
      </x:c>
      <x:c r="L77" s="30" t="str">
        <x:v>固定成员合作要求待核</x:v>
      </x:c>
      <x:c r="M77" s="30" t="str">
        <x:v>是否外拨待核</x:v>
      </x:c>
      <x:c r="N77" s="30" t="str">
        <x:v>研究周期待核</x:v>
      </x:c>
      <x:c r="O77" s="30" t="str">
        <x:v>成果与署名规则待核</x:v>
      </x:c>
      <x:c r="P77" s="30" t="str">
        <x:v>申请书、盖章及提交方式待核</x:v>
      </x:c>
      <x:c r="Q77" s="30" t="str">
        <x:v>https://vlssm.nju.edu.cn/ad/6d/c22710a830829/page.htm</x:v>
      </x:c>
      <x:c r="R77" s="30" t="str">
        <x:v>https://vlssm.nju.edu.cn/ad/6f/c22710a830831/page.htm</x:v>
      </x:c>
      <x:c r="S77" s="30" t="str">
        <x:v>仅继承来源信息/待核</x:v>
      </x:c>
      <x:c r="T77" s="30" t="str">
        <x:v>缺逐附件完成证据/不适用</x:v>
      </x:c>
      <x:c r="U77" s="30" t="str">
        <x:v>2026-10-08（资料核对；并非所有项目重新官网复核）</x:v>
      </x:c>
      <x:c r="V77" s="30" t="str">
        <x:v>定位年度公告及申报截止日期</x:v>
      </x:c>
      <x:c r="W77" s="30" t="str">
        <x:v>申请资格待核</x:v>
      </x:c>
      <x:c r="X77" s="30" t="str">
        <x:v>筛选对话 v1.0</x:v>
      </x:c>
      <x:c r="Y77" s="30" t="str">
        <x:v>筛选对话v1.0:M189</x:v>
      </x:c>
      <x:c r="Z77" s="30" t="str">
        <x:v>重编号为M194，消除编号冲突</x:v>
      </x:c>
    </x:row>
    <x:row r="78" ht="36" customHeight="1">
      <x:c r="A78" s="30" t="str">
        <x:v>M186</x:v>
      </x:c>
      <x:c r="B78" s="30" t="str">
        <x:v>开放基金/课题候选</x:v>
      </x:c>
      <x:c r="C78" s="30" t="str">
        <x:v>中国科学院深圳先进技术研究院</x:v>
      </x:c>
      <x:c r="D78" s="30" t="str">
        <x:v>广东省机器人与智能系统重点实验室（智能仿生研究中心）</x:v>
      </x:c>
      <x:c r="E78" s="30" t="str">
        <x:v>2023-10-15</x:v>
      </x:c>
      <x:c r="F78" s="30" t="str">
        <x:v>已截止·历史储备</x:v>
      </x:c>
      <x:c r="G78" s="30" t="str">
        <x:v>高</x:v>
      </x:c>
      <x:c r="H78" s="30" t="str">
        <x:v>与申请书的匹配方向：康复机器人、软体机器人、智能视觉与检测、外骨骼、人机交互，直接关联机器人柔顺操作</x:v>
      </x:c>
      <x:c r="I78" s="30" t="str">
        <x:v>与面上项目科学内容匹配程度依方向摘要判断；正式选题须核指南</x:v>
      </x:c>
      <x:c r="J78" s="30" t="str">
        <x:v>未记录／待核</x:v>
      </x:c>
      <x:c r="K78" s="30" t="str">
        <x:v>申请资格、合作与成果限制：国内外研究人员；博士或中级职称；原则上不超过60岁；优先与固定人员合作</x:v>
      </x:c>
      <x:c r="L78" s="30" t="str">
        <x:v>固定成员合作要求待核</x:v>
      </x:c>
      <x:c r="M78" s="30" t="str">
        <x:v>是否外拨待核</x:v>
      </x:c>
      <x:c r="N78" s="30" t="str">
        <x:v>研究周期待核</x:v>
      </x:c>
      <x:c r="O78" s="30" t="str">
        <x:v>成果与署名规则待核</x:v>
      </x:c>
      <x:c r="P78" s="30" t="str">
        <x:v>申请书、盖章及提交方式待核</x:v>
      </x:c>
      <x:c r="Q78" s="30" t="str">
        <x:v>https://znfs.siat.ac.cn/index.php?category_id=0&amp;id=280&amp;r=page%2Fshow&amp;type=5</x:v>
      </x:c>
      <x:c r="R78" s="30" t="str"/>
      <x:c r="S78" s="30" t="str">
        <x:v>仅继承来源信息/待核</x:v>
      </x:c>
      <x:c r="T78" s="30" t="str">
        <x:v>缺逐附件完成证据/不适用</x:v>
      </x:c>
      <x:c r="U78" s="30" t="str">
        <x:v>2026-10-08（资料核对；并非所有项目重新官网复核）</x:v>
      </x:c>
      <x:c r="V78" s="30" t="str">
        <x:v>关注下一年度开放指南</x:v>
      </x:c>
      <x:c r="W78" s="30" t="str">
        <x:v>申请资格、合作与成果限制：国内外研究人员；博士或中级职称；原则上不超过60岁；优先与固定人员合作</x:v>
      </x:c>
      <x:c r="X78" s="30" t="str">
        <x:v>本对话 v0.9</x:v>
      </x:c>
      <x:c r="Y78" s="30" t="str">
        <x:v>本对话v0.9:M186</x:v>
      </x:c>
      <x:c r="Z78" s="30" t="str">
        <x:v>保留原编号（该编号在另一对话冲突）</x:v>
      </x:c>
    </x:row>
    <x:row r="79" ht="36" customHeight="1">
      <x:c r="A79" s="30" t="str">
        <x:v>M034</x:v>
      </x:c>
      <x:c r="B79" s="30" t="str">
        <x:v>开放基金/课题候选</x:v>
      </x:c>
      <x:c r="C79" s="30" t="str">
        <x:v>哈尔滨工业大学</x:v>
      </x:c>
      <x:c r="D79" s="30" t="str">
        <x:v>机器人技术与系统全国重点实验室</x:v>
      </x:c>
      <x:c r="E79" s="30" t="str">
        <x:v>2025-10-31</x:v>
      </x:c>
      <x:c r="F79" s="30" t="str">
        <x:v>已截止·历史储备</x:v>
      </x:c>
      <x:c r="G79" s="30" t="str">
        <x:v>高</x:v>
      </x:c>
      <x:c r="H79" s="30" t="str">
        <x:v>医疗机器人；多模态实时建模；机器人自主学习；行为优化与控制</x:v>
      </x:c>
      <x:c r="I79" s="30" t="str">
        <x:v>与面上项目科学内容匹配程度依方向摘要判断；正式选题须核指南</x:v>
      </x:c>
      <x:c r="J79" s="30" t="str">
        <x:v>未记录／待核</x:v>
      </x:c>
      <x:c r="K79" s="30" t="str">
        <x:v>博士或高级职称；实验室固定成员合作；2026年度已公布资助结果</x:v>
      </x:c>
      <x:c r="L79" s="30" t="str">
        <x:v>固定成员合作要求待核</x:v>
      </x:c>
      <x:c r="M79" s="30" t="str">
        <x:v>是否外拨待核</x:v>
      </x:c>
      <x:c r="N79" s="30" t="str">
        <x:v>研究周期待核</x:v>
      </x:c>
      <x:c r="O79" s="30" t="str">
        <x:v>成果与署名规则待核</x:v>
      </x:c>
      <x:c r="P79" s="30" t="str">
        <x:v>申请书、盖章及提交方式待核</x:v>
      </x:c>
      <x:c r="Q79" s="30" t="str">
        <x:v>https://robot.hit.edu.cn/2025/1015/c277a379743/page.htm</x:v>
      </x:c>
      <x:c r="R79" s="30" t="str">
        <x:v>https://robot.hit.edu.cn/2025/1015/c277a379743/page.htm</x:v>
      </x:c>
      <x:c r="S79" s="30" t="str">
        <x:v>来源档案写明核过官网</x:v>
      </x:c>
      <x:c r="T79" s="30" t="str">
        <x:v>缺逐附件完成证据/不适用</x:v>
      </x:c>
      <x:c r="U79" s="30" t="str">
        <x:v>2026-10-08（资料核对；并非所有项目重新官网复核）</x:v>
      </x:c>
      <x:c r="V79" s="30" t="str">
        <x:v>关注下一年度开放指南</x:v>
      </x:c>
      <x:c r="W79" s="30" t="str">
        <x:v>博士或高级职称；实验室固定成员合作；2026年度已公布资助结果</x:v>
      </x:c>
      <x:c r="X79" s="30" t="str">
        <x:v>共有基线v0.8</x:v>
      </x:c>
      <x:c r="Y79" s="30" t="str">
        <x:v>v0.8:M034</x:v>
      </x:c>
      <x:c r="Z79" s="30" t="str">
        <x:v>原编号保留</x:v>
      </x:c>
    </x:row>
    <x:row r="80" ht="36" customHeight="1">
      <x:c r="A80" s="30" t="str">
        <x:v>M108</x:v>
      </x:c>
      <x:c r="B80" s="30" t="str">
        <x:v>开放基金/课题候选</x:v>
      </x:c>
      <x:c r="C80" s="30" t="str">
        <x:v>哈尔滨工业大学（深圳）</x:v>
      </x:c>
      <x:c r="D80" s="30" t="str">
        <x:v>先进运动控制技术与现代自动化装备重点实验室</x:v>
      </x:c>
      <x:c r="E80" s="30" t="str">
        <x:v>2026-01-05</x:v>
      </x:c>
      <x:c r="F80" s="30" t="str">
        <x:v>已截止·历史储备</x:v>
      </x:c>
      <x:c r="G80" s="30" t="str">
        <x:v>高</x:v>
      </x:c>
      <x:c r="H80" s="30" t="str">
        <x:v>医疗机器人、自适应预测控制、强化学习、鲁棒控制、柔性操作</x:v>
      </x:c>
      <x:c r="I80" s="30" t="str">
        <x:v>与面上项目科学内容匹配程度依方向摘要判断；正式选题须核指南</x:v>
      </x:c>
      <x:c r="J80" s="30" t="str">
        <x:v>未记录／待核</x:v>
      </x:c>
      <x:c r="K80" s="30" t="str">
        <x:v>申请资格待核</x:v>
      </x:c>
      <x:c r="L80" s="30" t="str">
        <x:v>固定成员合作要求待核</x:v>
      </x:c>
      <x:c r="M80" s="30" t="str">
        <x:v>是否外拨待核</x:v>
      </x:c>
      <x:c r="N80" s="30" t="str">
        <x:v>研究周期待核</x:v>
      </x:c>
      <x:c r="O80" s="30" t="str">
        <x:v>成果与署名规则待核</x:v>
      </x:c>
      <x:c r="P80" s="30" t="str">
        <x:v>申请书、盖章及提交方式待核</x:v>
      </x:c>
      <x:c r="Q80" s="30" t="str">
        <x:v>https://intelligence.hitsz.edu.cn/currency.jsp?urltype=news.NewsContentUrl&amp;wbnewsid=1661&amp;wbtreeid=1259</x:v>
      </x:c>
      <x:c r="R80" s="30" t="str"/>
      <x:c r="S80" s="30" t="str">
        <x:v>仅继承来源信息/待核</x:v>
      </x:c>
      <x:c r="T80" s="30" t="str">
        <x:v>缺逐附件完成证据/不适用</x:v>
      </x:c>
      <x:c r="U80" s="30" t="str">
        <x:v>2026-10-08（资料核对；并非所有项目重新官网复核）</x:v>
      </x:c>
      <x:c r="V80" s="30" t="str">
        <x:v>关注下一年度开放指南</x:v>
      </x:c>
      <x:c r="W80" s="30" t="str">
        <x:v>申请资格待核</x:v>
      </x:c>
      <x:c r="X80" s="30" t="str">
        <x:v>共有基线v0.8</x:v>
      </x:c>
      <x:c r="Y80" s="30" t="str">
        <x:v>v0.8:M108</x:v>
      </x:c>
      <x:c r="Z80" s="30" t="str">
        <x:v>原编号保留</x:v>
      </x:c>
    </x:row>
    <x:row r="81" ht="36" customHeight="1">
      <x:c r="A81" s="30" t="str">
        <x:v>M164</x:v>
      </x:c>
      <x:c r="B81" s="30" t="str">
        <x:v>开放基金/课题候选</x:v>
      </x:c>
      <x:c r="C81" s="30" t="str">
        <x:v>澳门大学</x:v>
      </x:c>
      <x:c r="D81" s="30" t="str">
        <x:v>模拟与混合信号集成电路全国重点实验室（SKL-AMSV）</x:v>
      </x:c>
      <x:c r="E81" s="30" t="str">
        <x:v>2026-02-28</x:v>
      </x:c>
      <x:c r="F81" s="30" t="str">
        <x:v>已截止·历史储备</x:v>
      </x:c>
      <x:c r="G81" s="30" t="str">
        <x:v>高</x:v>
      </x:c>
      <x:c r="H81" s="30" t="str">
        <x:v>人工智能、医学电子和微流控芯片，与医疗机器人的感知/装备有局部交集，但不支持原有机器人系统控制核心目标</x:v>
      </x:c>
      <x:c r="I81" s="30" t="str">
        <x:v>与面上项目科学内容匹配程度依方向摘要判断；正式选题须核指南</x:v>
      </x:c>
      <x:c r="J81" s="30" t="str">
        <x:v>最高澳门币10万元/项，期限一般24个月（历史记录）</x:v>
      </x:c>
      <x:c r="K81" s="30" t="str">
        <x:v>境内外大学、科研机构等研究人员；博士学位或助理教授及以上；至少一名实验室全职成员为合作者；申请材料需依托单位盖章</x:v>
      </x:c>
      <x:c r="L81" s="30" t="str">
        <x:v>固定成员合作要求待核</x:v>
      </x:c>
      <x:c r="M81" s="30" t="str">
        <x:v>是否外拨待核</x:v>
      </x:c>
      <x:c r="N81" s="30" t="str">
        <x:v>研究周期待核</x:v>
      </x:c>
      <x:c r="O81" s="30" t="str">
        <x:v>成果与署名规则待核</x:v>
      </x:c>
      <x:c r="P81" s="30" t="str">
        <x:v>申请书、盖章及提交方式待核</x:v>
      </x:c>
      <x:c r="Q81" s="30" t="str">
        <x:v>https://ime.um.edu.mo/zh-hans/open-research-project/guidelines/</x:v>
      </x:c>
      <x:c r="R81" s="30" t="str"/>
      <x:c r="S81" s="30" t="str">
        <x:v>仅继承来源信息/待核</x:v>
      </x:c>
      <x:c r="T81" s="30" t="str">
        <x:v>缺逐附件完成证据/不适用</x:v>
      </x:c>
      <x:c r="U81" s="30" t="str">
        <x:v>2026-10-08（资料核对；并非所有项目重新官网复核）</x:v>
      </x:c>
      <x:c r="V81" s="30" t="str">
        <x:v>关注下一年度开放指南</x:v>
      </x:c>
      <x:c r="W81" s="30" t="str">
        <x:v>境内外大学、科研机构等研究人员；博士学位或助理教授及以上；至少一名实验室全职成员为合作者；申请材料需依托单位盖章</x:v>
      </x:c>
      <x:c r="X81" s="30" t="str">
        <x:v>共有基线v0.8</x:v>
      </x:c>
      <x:c r="Y81" s="30" t="str">
        <x:v>v0.8:M164</x:v>
      </x:c>
      <x:c r="Z81" s="30" t="str">
        <x:v>原编号保留</x:v>
      </x:c>
    </x:row>
    <x:row r="82" ht="36" customHeight="1">
      <x:c r="A82" s="30" t="str">
        <x:v>M166</x:v>
      </x:c>
      <x:c r="B82" s="30" t="str">
        <x:v>开放基金/课题候选</x:v>
      </x:c>
      <x:c r="C82" s="30" t="str">
        <x:v>华中师范大学</x:v>
      </x:c>
      <x:c r="D82" s="30" t="str">
        <x:v>智能健康交叉科学中心（开放课题）</x:v>
      </x:c>
      <x:c r="E82" s="30" t="str">
        <x:v>2026-04-03</x:v>
      </x:c>
      <x:c r="F82" s="30" t="str">
        <x:v>已截止·历史储备</x:v>
      </x:c>
      <x:c r="G82" s="30" t="str">
        <x:v>高</x:v>
      </x:c>
      <x:c r="H82" s="30" t="str">
        <x:v>医学智能与健康工程交叉，需进一步阅读完整研究指南；不得根据中心名称断言超声机器人可以直接申报</x:v>
      </x:c>
      <x:c r="I82" s="30" t="str">
        <x:v>与面上项目科学内容匹配程度依方向摘要判断；正式选题须核指南</x:v>
      </x:c>
      <x:c r="J82" s="30" t="str">
        <x:v>未记录／待核</x:v>
      </x:c>
      <x:c r="K82" s="30" t="str">
        <x:v>原通知网页存在访问权限限制，申请资格与资助额度待查</x:v>
      </x:c>
      <x:c r="L82" s="30" t="str">
        <x:v>固定成员合作要求待核</x:v>
      </x:c>
      <x:c r="M82" s="30" t="str">
        <x:v>是否外拨待核</x:v>
      </x:c>
      <x:c r="N82" s="30" t="str">
        <x:v>研究周期待核</x:v>
      </x:c>
      <x:c r="O82" s="30" t="str">
        <x:v>成果与署名规则待核</x:v>
      </x:c>
      <x:c r="P82" s="30" t="str">
        <x:v>申请书、盖章及提交方式待核</x:v>
      </x:c>
      <x:c r="Q82" s="30" t="str">
        <x:v>https://ihealth.ccnu.edu.cn/kxyj/kfkt.htm</x:v>
      </x:c>
      <x:c r="R82" s="30" t="str"/>
      <x:c r="S82" s="30" t="str">
        <x:v>仅继承来源信息/待核</x:v>
      </x:c>
      <x:c r="T82" s="30" t="str">
        <x:v>缺逐附件完成证据/不适用</x:v>
      </x:c>
      <x:c r="U82" s="30" t="str">
        <x:v>2026-10-08（资料核对；并非所有项目重新官网复核）</x:v>
      </x:c>
      <x:c r="V82" s="30" t="str">
        <x:v>关注下一年度开放指南</x:v>
      </x:c>
      <x:c r="W82" s="30" t="str">
        <x:v>原通知网页存在访问权限限制，申请资格与资助额度待查</x:v>
      </x:c>
      <x:c r="X82" s="30" t="str">
        <x:v>共有基线v0.8</x:v>
      </x:c>
      <x:c r="Y82" s="30" t="str">
        <x:v>v0.8:M166</x:v>
      </x:c>
      <x:c r="Z82" s="30" t="str">
        <x:v>原编号保留</x:v>
      </x:c>
    </x:row>
    <x:row r="83" ht="36" customHeight="1">
      <x:c r="A83" s="30" t="str">
        <x:v>M009</x:v>
      </x:c>
      <x:c r="B83" s="30" t="str">
        <x:v>开放基金/课题候选</x:v>
      </x:c>
      <x:c r="C83" s="30" t="str">
        <x:v>中国科学院自动化研究所</x:v>
      </x:c>
      <x:c r="D83" s="30" t="str">
        <x:v>多模态人工智能系统全国重点实验室</x:v>
      </x:c>
      <x:c r="E83" s="30" t="str">
        <x:v>2026-05-29</x:v>
      </x:c>
      <x:c r="F83" s="30" t="str">
        <x:v>已截止·历史储备</x:v>
      </x:c>
      <x:c r="G83" s="30" t="str">
        <x:v>高</x:v>
      </x:c>
      <x:c r="H83" s="30" t="str">
        <x:v>医疗机器人；具身智能；感知-决策-控制闭环；强化学习；多模态世界模型</x:v>
      </x:c>
      <x:c r="I83" s="30" t="str">
        <x:v>与面上项目科学内容匹配程度依方向摘要判断；正式选题须核指南</x:v>
      </x:c>
      <x:c r="J83" s="30" t="str">
        <x:v>未记录／待核</x:v>
      </x:c>
      <x:c r="K83" s="30" t="str">
        <x:v>原则上40周岁及以下；与固定成员联合申报；每年访问原则上不少于2个月；经费由内部合作教师管理</x:v>
      </x:c>
      <x:c r="L83" s="30" t="str">
        <x:v>固定成员合作要求待核</x:v>
      </x:c>
      <x:c r="M83" s="30" t="str">
        <x:v>是否外拨待核</x:v>
      </x:c>
      <x:c r="N83" s="30" t="str">
        <x:v>研究周期待核</x:v>
      </x:c>
      <x:c r="O83" s="30" t="str">
        <x:v>成果与署名规则待核</x:v>
      </x:c>
      <x:c r="P83" s="30" t="str">
        <x:v>申请书、盖章及提交方式待核</x:v>
      </x:c>
      <x:c r="Q83" s="30" t="str">
        <x:v>https://www.ia.cas.cn/qtgn/tzgg/202605/t20260515_8202627.html</x:v>
      </x:c>
      <x:c r="R83" s="30" t="str">
        <x:v>https://www.ia.cas.cn/qtgn/tzgg/202605/t20260515_8202627.html</x:v>
      </x:c>
      <x:c r="S83" s="30" t="str">
        <x:v>来源档案写明核过官网</x:v>
      </x:c>
      <x:c r="T83" s="30" t="str">
        <x:v>缺逐附件完成证据/不适用</x:v>
      </x:c>
      <x:c r="U83" s="30" t="str">
        <x:v>2026-10-08（资料核对；并非所有项目重新官网复核）</x:v>
      </x:c>
      <x:c r="V83" s="30" t="str">
        <x:v>关注下一年度开放指南</x:v>
      </x:c>
      <x:c r="W83" s="30" t="str">
        <x:v>原则上40周岁及以下；与固定成员联合申报；每年访问原则上不少于2个月；经费由内部合作教师管理</x:v>
      </x:c>
      <x:c r="X83" s="30" t="str">
        <x:v>共有基线v0.8</x:v>
      </x:c>
      <x:c r="Y83" s="30" t="str">
        <x:v>v0.8:M009</x:v>
      </x:c>
      <x:c r="Z83" s="30" t="str">
        <x:v>原编号保留</x:v>
      </x:c>
    </x:row>
    <x:row r="84" ht="36" customHeight="1">
      <x:c r="A84" s="30" t="str">
        <x:v>M104</x:v>
      </x:c>
      <x:c r="B84" s="30" t="str">
        <x:v>开放基金/课题候选</x:v>
      </x:c>
      <x:c r="C84" s="30" t="str">
        <x:v>西北工业大学宁波研究院</x:v>
      </x:c>
      <x:c r="D84" s="30" t="str">
        <x:v>全省高性能MEMS芯片规模制造技术重点实验室</x:v>
      </x:c>
      <x:c r="E84" s="30" t="str">
        <x:v>2026-05-31</x:v>
      </x:c>
      <x:c r="F84" s="30" t="str">
        <x:v>已截止·历史储备</x:v>
      </x:c>
      <x:c r="G84" s="30" t="str">
        <x:v>高</x:v>
      </x:c>
      <x:c r="H84" s="30" t="str">
        <x:v>多传感器融合；压电动态声感测量；医疗诊断传感器；与超声机器人感知端间接关联</x:v>
      </x:c>
      <x:c r="I84" s="30" t="str">
        <x:v>与面上项目科学内容匹配程度依方向摘要判断；正式选题须核指南</x:v>
      </x:c>
      <x:c r="J84" s="30" t="str">
        <x:v>1.5万、重点3万</x:v>
      </x:c>
      <x:c r="K84" s="30" t="str">
        <x:v>校外硕士以上、一般不超过45周岁；一般1.5万、重点3万；经费可外拨；知识产权共有，成果联合署名</x:v>
      </x:c>
      <x:c r="L84" s="30" t="str">
        <x:v>固定成员合作要求待核</x:v>
      </x:c>
      <x:c r="M84" s="30" t="str">
        <x:v>是否外拨待核</x:v>
      </x:c>
      <x:c r="N84" s="30" t="str">
        <x:v>研究周期待核</x:v>
      </x:c>
      <x:c r="O84" s="30" t="str">
        <x:v>成果与署名规则待核</x:v>
      </x:c>
      <x:c r="P84" s="30" t="str">
        <x:v>申请书、盖章及提交方式待核</x:v>
      </x:c>
      <x:c r="Q84" s="30" t="str">
        <x:v>https://ningbo.nwpu.edu.cn/info/1013/5119.htm</x:v>
      </x:c>
      <x:c r="R84" s="30" t="str"/>
      <x:c r="S84" s="30" t="str">
        <x:v>来源档案写明核过官网</x:v>
      </x:c>
      <x:c r="T84" s="30" t="str">
        <x:v>缺逐附件完成证据/不适用</x:v>
      </x:c>
      <x:c r="U84" s="30" t="str">
        <x:v>2026-10-08（资料核对；并非所有项目重新官网复核）</x:v>
      </x:c>
      <x:c r="V84" s="30" t="str">
        <x:v>关注下一年度开放指南</x:v>
      </x:c>
      <x:c r="W84" s="30" t="str">
        <x:v>校外硕士以上、一般不超过45周岁；一般1.5万、重点3万；经费可外拨；知识产权共有，成果联合署名</x:v>
      </x:c>
      <x:c r="X84" s="30" t="str">
        <x:v>共有基线v0.8</x:v>
      </x:c>
      <x:c r="Y84" s="30" t="str">
        <x:v>v0.8:M104</x:v>
      </x:c>
      <x:c r="Z84" s="30" t="str">
        <x:v>原编号保留</x:v>
      </x:c>
    </x:row>
    <x:row r="85" ht="36" customHeight="1">
      <x:c r="A85" s="30" t="str">
        <x:v>M070</x:v>
      </x:c>
      <x:c r="B85" s="30" t="str">
        <x:v>开放基金/课题候选</x:v>
      </x:c>
      <x:c r="C85" s="30" t="str">
        <x:v>桂林电子科技大学</x:v>
      </x:c>
      <x:c r="D85" s="30" t="str">
        <x:v>广西高校智能综合自动化重点实验室</x:v>
      </x:c>
      <x:c r="E85" s="30" t="str">
        <x:v>2026-07-25</x:v>
      </x:c>
      <x:c r="F85" s="30" t="str">
        <x:v>已截止·历史储备</x:v>
      </x:c>
      <x:c r="G85" s="30" t="str">
        <x:v>高</x:v>
      </x:c>
      <x:c r="H85" s="30" t="str">
        <x:v>机器人视觉-力觉融合；自适应鲁棒控制；医疗机器人</x:v>
      </x:c>
      <x:c r="I85" s="30" t="str">
        <x:v>与面上项目科学内容匹配程度依方向摘要判断；正式选题须核指南</x:v>
      </x:c>
      <x:c r="J85" s="30" t="str">
        <x:v>未记录／待核</x:v>
      </x:c>
      <x:c r="K85" s="30" t="str">
        <x:v>申请资格待核</x:v>
      </x:c>
      <x:c r="L85" s="30" t="str">
        <x:v>固定成员合作要求待核</x:v>
      </x:c>
      <x:c r="M85" s="30" t="str">
        <x:v>是否外拨待核</x:v>
      </x:c>
      <x:c r="N85" s="30" t="str">
        <x:v>研究周期待核</x:v>
      </x:c>
      <x:c r="O85" s="30" t="str">
        <x:v>成果与署名规则待核</x:v>
      </x:c>
      <x:c r="P85" s="30" t="str">
        <x:v>申请书、盖章及提交方式待核</x:v>
      </x:c>
      <x:c r="Q85" s="30" t="str">
        <x:v>https://www.guet.edu.cn/dept8/_t30/2026/0706/c1177a157316/page.htm</x:v>
      </x:c>
      <x:c r="R85" s="30" t="str">
        <x:v>https://www.guet.edu.cn/dept8/_t30/2026/0706/c1177a157316/page.htm</x:v>
      </x:c>
      <x:c r="S85" s="30" t="str">
        <x:v>仅继承来源信息/待核</x:v>
      </x:c>
      <x:c r="T85" s="30" t="str">
        <x:v>缺逐附件完成证据/不适用</x:v>
      </x:c>
      <x:c r="U85" s="30" t="str">
        <x:v>2026-10-08（资料核对；并非所有项目重新官网复核）</x:v>
      </x:c>
      <x:c r="V85" s="30" t="str">
        <x:v>关注下一年度开放指南</x:v>
      </x:c>
      <x:c r="W85" s="30" t="str">
        <x:v>申请资格待核</x:v>
      </x:c>
      <x:c r="X85" s="30" t="str">
        <x:v>共有基线v0.8</x:v>
      </x:c>
      <x:c r="Y85" s="30" t="str">
        <x:v>v0.8:M070</x:v>
      </x:c>
      <x:c r="Z85" s="30" t="str">
        <x:v>原编号保留</x:v>
      </x:c>
    </x:row>
    <x:row r="86" ht="36" customHeight="1">
      <x:c r="A86" s="30" t="str">
        <x:v>M076</x:v>
      </x:c>
      <x:c r="B86" s="30" t="str">
        <x:v>开放基金/课题候选</x:v>
      </x:c>
      <x:c r="C86" s="30" t="str">
        <x:v>苏州大学</x:v>
      </x:c>
      <x:c r="D86" s="30" t="str">
        <x:v>江苏省具身智能机器人技术重点实验室</x:v>
      </x:c>
      <x:c r="E86" s="30" t="str">
        <x:v>2026-07-31</x:v>
      </x:c>
      <x:c r="F86" s="30" t="str">
        <x:v>已截止·历史储备</x:v>
      </x:c>
      <x:c r="G86" s="30" t="str">
        <x:v>高</x:v>
      </x:c>
      <x:c r="H86" s="30" t="str">
        <x:v>医疗机器人；具身决策控制；柔性传感；人机交互</x:v>
      </x:c>
      <x:c r="I86" s="30" t="str">
        <x:v>与面上项目科学内容匹配程度依方向摘要判断；正式选题须核指南</x:v>
      </x:c>
      <x:c r="J86" s="30" t="str">
        <x:v>未记录／待核</x:v>
      </x:c>
      <x:c r="K86" s="30" t="str">
        <x:v>须为实验室外部科研人员；博士或中级以上职称</x:v>
      </x:c>
      <x:c r="L86" s="30" t="str">
        <x:v>固定成员合作要求待核</x:v>
      </x:c>
      <x:c r="M86" s="30" t="str">
        <x:v>是否外拨待核</x:v>
      </x:c>
      <x:c r="N86" s="30" t="str">
        <x:v>研究周期待核</x:v>
      </x:c>
      <x:c r="O86" s="30" t="str">
        <x:v>成果与署名规则待核</x:v>
      </x:c>
      <x:c r="P86" s="30" t="str">
        <x:v>申请书、盖章及提交方式待核</x:v>
      </x:c>
      <x:c r="Q86" s="30" t="str">
        <x:v>https://jdxy.suda.edu.cn/_t1815/be/36/c12042a704054/page.psp</x:v>
      </x:c>
      <x:c r="R86" s="30" t="str">
        <x:v>https://jdxy.suda.edu.cn/_t1815/be/36/c12042a704054/page.psp</x:v>
      </x:c>
      <x:c r="S86" s="30" t="str">
        <x:v>来源档案写明核过官网</x:v>
      </x:c>
      <x:c r="T86" s="30" t="str">
        <x:v>缺逐附件完成证据/不适用</x:v>
      </x:c>
      <x:c r="U86" s="30" t="str">
        <x:v>2026-10-08（资料核对；并非所有项目重新官网复核）</x:v>
      </x:c>
      <x:c r="V86" s="30" t="str">
        <x:v>关注下一年度开放指南</x:v>
      </x:c>
      <x:c r="W86" s="30" t="str">
        <x:v>须为实验室外部科研人员；博士或中级以上职称</x:v>
      </x:c>
      <x:c r="X86" s="30" t="str">
        <x:v>共有基线v0.8</x:v>
      </x:c>
      <x:c r="Y86" s="30" t="str">
        <x:v>v0.8:M076</x:v>
      </x:c>
      <x:c r="Z86" s="30" t="str">
        <x:v>原编号保留</x:v>
      </x:c>
    </x:row>
    <x:row r="87" ht="36" customHeight="1">
      <x:c r="A87" s="30" t="str">
        <x:v>M086</x:v>
      </x:c>
      <x:c r="B87" s="30" t="str">
        <x:v>开放基金/课题候选</x:v>
      </x:c>
      <x:c r="C87" s="30" t="str">
        <x:v>湖北工业大学</x:v>
      </x:c>
      <x:c r="D87" s="30" t="str">
        <x:v>现代制造质量工程湖北省重点实验室</x:v>
      </x:c>
      <x:c r="E87" s="30" t="str">
        <x:v>2026-08-15</x:v>
      </x:c>
      <x:c r="F87" s="30" t="str">
        <x:v>已截止·历史储备</x:v>
      </x:c>
      <x:c r="G87" s="30" t="str">
        <x:v>高</x:v>
      </x:c>
      <x:c r="H87" s="30" t="str">
        <x:v>医疗机器人/康复工程；机电智能控制；机器视觉</x:v>
      </x:c>
      <x:c r="I87" s="30" t="str">
        <x:v>与面上项目科学内容匹配程度依方向摘要判断；正式选题须核指南</x:v>
      </x:c>
      <x:c r="J87" s="30" t="str">
        <x:v>未记录／待核</x:v>
      </x:c>
      <x:c r="K87" s="30" t="str">
        <x:v>博士；与本室或机械学院教师合作；研究方向详细见指南</x:v>
      </x:c>
      <x:c r="L87" s="30" t="str">
        <x:v>固定成员合作要求待核</x:v>
      </x:c>
      <x:c r="M87" s="30" t="str">
        <x:v>是否外拨待核</x:v>
      </x:c>
      <x:c r="N87" s="30" t="str">
        <x:v>研究周期待核</x:v>
      </x:c>
      <x:c r="O87" s="30" t="str">
        <x:v>成果与署名规则待核</x:v>
      </x:c>
      <x:c r="P87" s="30" t="str">
        <x:v>申请书、盖章及提交方式待核</x:v>
      </x:c>
      <x:c r="Q87" s="30" t="str">
        <x:v>https://mmqe.hbut.edu.cn/info/1047/2232.htm</x:v>
      </x:c>
      <x:c r="R87" s="30" t="str">
        <x:v>https://mmqe.hbut.edu.cn/info/1047/2232.htm</x:v>
      </x:c>
      <x:c r="S87" s="30" t="str">
        <x:v>来源档案写明核过官网</x:v>
      </x:c>
      <x:c r="T87" s="30" t="str">
        <x:v>缺逐附件完成证据/不适用</x:v>
      </x:c>
      <x:c r="U87" s="30" t="str">
        <x:v>2026-10-08（资料核对；并非所有项目重新官网复核）</x:v>
      </x:c>
      <x:c r="V87" s="30" t="str">
        <x:v>关注下一年度开放指南</x:v>
      </x:c>
      <x:c r="W87" s="30" t="str">
        <x:v>博士；与本室或机械学院教师合作；研究方向详细见指南</x:v>
      </x:c>
      <x:c r="X87" s="30" t="str">
        <x:v>共有基线v0.8</x:v>
      </x:c>
      <x:c r="Y87" s="30" t="str">
        <x:v>v0.8:M086</x:v>
      </x:c>
      <x:c r="Z87" s="30" t="str">
        <x:v>原编号保留</x:v>
      </x:c>
    </x:row>
    <x:row r="88" ht="36" customHeight="1">
      <x:c r="A88" s="30" t="str">
        <x:v>M098</x:v>
      </x:c>
      <x:c r="B88" s="30" t="str">
        <x:v>开放基金/课题候选</x:v>
      </x:c>
      <x:c r="C88" s="30" t="str">
        <x:v>深圳市人工智能与机器人研究院AIRS</x:v>
      </x:c>
      <x:c r="D88" s="30" t="str">
        <x:v>医疗机器人方向开放课题</x:v>
      </x:c>
      <x:c r="E88" s="30" t="str">
        <x:v>2026-08-15</x:v>
      </x:c>
      <x:c r="F88" s="30" t="str">
        <x:v>已截止·历史储备</x:v>
      </x:c>
      <x:c r="G88" s="30" t="str">
        <x:v>高</x:v>
      </x:c>
      <x:c r="H88" s="30" t="str">
        <x:v>支气管镜机器人感知导航；智能控制；医学影像融合；医疗机器人交叉</x:v>
      </x:c>
      <x:c r="I88" s="30" t="str">
        <x:v>与面上项目科学内容匹配程度依方向摘要判断；正式选题须核指南</x:v>
      </x:c>
      <x:c r="J88" s="30" t="str">
        <x:v>10万元/项、1年</x:v>
      </x:c>
      <x:c r="K88" s="30" t="str">
        <x:v>2026年度医疗机器人方向；博士或副高原则要求；10万元/项、1年；通常不允许用课题成果申请专利，拟申请专利须以AIRS为专利权人</x:v>
      </x:c>
      <x:c r="L88" s="30" t="str">
        <x:v>固定成员合作要求待核</x:v>
      </x:c>
      <x:c r="M88" s="30" t="str">
        <x:v>是否外拨待核</x:v>
      </x:c>
      <x:c r="N88" s="30" t="str">
        <x:v>研究周期待核</x:v>
      </x:c>
      <x:c r="O88" s="30" t="str">
        <x:v>成果与署名规则待核</x:v>
      </x:c>
      <x:c r="P88" s="30" t="str">
        <x:v>申请书、盖章及提交方式待核</x:v>
      </x:c>
      <x:c r="Q88" s="30" t="str">
        <x:v>https://airs.cuhk.edu.cn/article/1429</x:v>
      </x:c>
      <x:c r="R88" s="30" t="str">
        <x:v>https://airs.cuhk.edu.cn/article/1429</x:v>
      </x:c>
      <x:c r="S88" s="30" t="str">
        <x:v>来源档案写明核过官网</x:v>
      </x:c>
      <x:c r="T88" s="30" t="str">
        <x:v>缺逐附件完成证据/不适用</x:v>
      </x:c>
      <x:c r="U88" s="30" t="str">
        <x:v>2026-10-08（资料核对；并非所有项目重新官网复核）</x:v>
      </x:c>
      <x:c r="V88" s="30" t="str">
        <x:v>关注下一年度开放指南</x:v>
      </x:c>
      <x:c r="W88" s="30" t="str">
        <x:v>2026年度医疗机器人方向；博士或副高原则要求；10万元/项、1年；通常不允许用课题成果申请专利，拟申请专利须以AIRS为专利权人</x:v>
      </x:c>
      <x:c r="X88" s="30" t="str">
        <x:v>共有基线v0.8</x:v>
      </x:c>
      <x:c r="Y88" s="30" t="str">
        <x:v>v0.8:M098</x:v>
      </x:c>
      <x:c r="Z88" s="30" t="str">
        <x:v>原编号保留</x:v>
      </x:c>
    </x:row>
    <x:row r="89" ht="36" customHeight="1">
      <x:c r="A89" s="30" t="str">
        <x:v>M185</x:v>
      </x:c>
      <x:c r="B89" s="30" t="str">
        <x:v>开放基金/课题候选</x:v>
      </x:c>
      <x:c r="C89" s="30" t="str">
        <x:v>南京信息工程大学</x:v>
      </x:c>
      <x:c r="D89" s="30" t="str">
        <x:v>复杂环境智能保障技术教育部重点实验室</x:v>
      </x:c>
      <x:c r="E89" s="30" t="str">
        <x:v>2026-08-17</x:v>
      </x:c>
      <x:c r="F89" s="30" t="str">
        <x:v>已截止·历史储备</x:v>
      </x:c>
      <x:c r="G89" s="30" t="str">
        <x:v>高</x:v>
      </x:c>
      <x:c r="H89" s="30" t="str">
        <x:v>与申请书的匹配方向：复杂环境下自跟随机器人目标跟踪；机器人视觉感知、位姿跟踪和控制；项目对象并非超声机器人</x:v>
      </x:c>
      <x:c r="I89" s="30" t="str">
        <x:v>与面上项目科学内容匹配程度依方向摘要判断；正式选题须核指南</x:v>
      </x:c>
      <x:c r="J89" s="30" t="str">
        <x:v>5万重点/2万一般（历史记录）</x:v>
      </x:c>
      <x:c r="K89" s="30" t="str">
        <x:v>申请资格、合作与成果限制：中国籍；博士或副高；40岁以下优先；仅一家单位申报、不支持联合申报；本校工作人员能否申报待问实验室</x:v>
      </x:c>
      <x:c r="L89" s="30" t="str">
        <x:v>固定成员合作要求待核</x:v>
      </x:c>
      <x:c r="M89" s="30" t="str">
        <x:v>是否外拨待核</x:v>
      </x:c>
      <x:c r="N89" s="30" t="str">
        <x:v>研究周期待核</x:v>
      </x:c>
      <x:c r="O89" s="30" t="str">
        <x:v>成果与署名规则待核</x:v>
      </x:c>
      <x:c r="P89" s="30" t="str">
        <x:v>申请书、盖章及提交方式待核</x:v>
      </x:c>
      <x:c r="Q89" s="30" t="str">
        <x:v>https://dxy.nuist.edu.cn/__local/5/05/2C/AB442E1AE16238E9C6A85742E7E_F0A9F1C8_33976.pdf</x:v>
      </x:c>
      <x:c r="R89" s="30" t="str">
        <x:v>https://dxy.nuist.edu.cn/info/1062/6491.htm</x:v>
      </x:c>
      <x:c r="S89" s="30" t="str">
        <x:v>来源档案写明核过官网</x:v>
      </x:c>
      <x:c r="T89" s="30" t="str">
        <x:v>来源明确称已核PDF全文</x:v>
      </x:c>
      <x:c r="U89" s="30" t="str">
        <x:v>2026-10-08（资料核对；并非所有项目重新官网复核）</x:v>
      </x:c>
      <x:c r="V89" s="30" t="str">
        <x:v>关注下一年度开放指南</x:v>
      </x:c>
      <x:c r="W89" s="30" t="str">
        <x:v>申请资格、合作与成果限制：中国籍；博士或副高；40岁以下优先；仅一家单位申报、不支持联合申报；本校工作人员能否申报待问实验室</x:v>
      </x:c>
      <x:c r="X89" s="30" t="str">
        <x:v>本对话 v0.9</x:v>
      </x:c>
      <x:c r="Y89" s="30" t="str">
        <x:v>本对话v0.9:M185</x:v>
      </x:c>
      <x:c r="Z89" s="30" t="str">
        <x:v>保留原编号（该编号在另一对话冲突）</x:v>
      </x:c>
    </x:row>
    <x:row r="90" ht="36" customHeight="1">
      <x:c r="A90" s="30" t="str">
        <x:v>M157</x:v>
      </x:c>
      <x:c r="B90" s="30" t="str">
        <x:v>开放基金/课题候选</x:v>
      </x:c>
      <x:c r="C90" s="30" t="str">
        <x:v>四川警察学院</x:v>
      </x:c>
      <x:c r="D90" s="30" t="str">
        <x:v>智能警务四川省重点实验室</x:v>
      </x:c>
      <x:c r="E90" s="30" t="str">
        <x:v>2026-09-07</x:v>
      </x:c>
      <x:c r="F90" s="30" t="str">
        <x:v>已截止·历史储备</x:v>
      </x:c>
      <x:c r="G90" s="30" t="str">
        <x:v>高</x:v>
      </x:c>
      <x:c r="H90" s="30" t="str">
        <x:v>突发事件智能感知、物证检测、公共安全；与医疗机器人原研究对象明显不符</x:v>
      </x:c>
      <x:c r="I90" s="30" t="str">
        <x:v>与面上项目科学内容匹配程度依方向摘要判断；正式选题须核指南</x:v>
      </x:c>
      <x:c r="J90" s="30" t="str">
        <x:v>10万/重点15万/青年5万</x:v>
      </x:c>
      <x:c r="K90" s="30" t="str">
        <x:v>面上10万/重点15万/青年5万；需校内固定成员；严格第一作者与四川警察学院第一单位署名</x:v>
      </x:c>
      <x:c r="L90" s="30" t="str">
        <x:v>固定成员合作要求待核</x:v>
      </x:c>
      <x:c r="M90" s="30" t="str">
        <x:v>是否外拨待核</x:v>
      </x:c>
      <x:c r="N90" s="30" t="str">
        <x:v>研究周期待核</x:v>
      </x:c>
      <x:c r="O90" s="30" t="str">
        <x:v>成果与署名规则待核</x:v>
      </x:c>
      <x:c r="P90" s="30" t="str">
        <x:v>申请书、盖章及提交方式待核</x:v>
      </x:c>
      <x:c r="Q90" s="30" t="str">
        <x:v>https://ipklsc.scpolicec.edu.cn/info/1038/1985.htm</x:v>
      </x:c>
      <x:c r="R90" s="30" t="str"/>
      <x:c r="S90" s="30" t="str">
        <x:v>仅继承来源信息/待核</x:v>
      </x:c>
      <x:c r="T90" s="30" t="str">
        <x:v>缺逐附件完成证据/不适用</x:v>
      </x:c>
      <x:c r="U90" s="30" t="str">
        <x:v>2026-10-08（资料核对；并非所有项目重新官网复核）</x:v>
      </x:c>
      <x:c r="V90" s="30" t="str">
        <x:v>关注下一年度开放指南</x:v>
      </x:c>
      <x:c r="W90" s="30" t="str">
        <x:v>面上10万/重点15万/青年5万；需校内固定成员；严格第一作者与四川警察学院第一单位署名</x:v>
      </x:c>
      <x:c r="X90" s="30" t="str">
        <x:v>共有基线v0.8</x:v>
      </x:c>
      <x:c r="Y90" s="30" t="str">
        <x:v>v0.8:M157</x:v>
      </x:c>
      <x:c r="Z90" s="30" t="str">
        <x:v>原编号保留</x:v>
      </x:c>
    </x:row>
    <x:row r="91" ht="36" customHeight="1">
      <x:c r="A91" s="30" t="str">
        <x:v>M184</x:v>
      </x:c>
      <x:c r="B91" s="30" t="str">
        <x:v>开放基金/课题候选</x:v>
      </x:c>
      <x:c r="C91" s="30" t="str">
        <x:v>南京信息工程大学</x:v>
      </x:c>
      <x:c r="D91" s="30" t="str">
        <x:v>风险治理与应急决策研究院</x:v>
      </x:c>
      <x:c r="E91" s="30" t="str">
        <x:v>2026-09-18</x:v>
      </x:c>
      <x:c r="F91" s="30" t="str">
        <x:v>已截止·历史储备</x:v>
      </x:c>
      <x:c r="G91" s="30" t="str">
        <x:v>高</x:v>
      </x:c>
      <x:c r="H91" s="30" t="str">
        <x:v>智能风险分析与应急决策；与超声机器人直接匹配低</x:v>
      </x:c>
      <x:c r="I91" s="30" t="str">
        <x:v>与面上项目科学内容匹配程度依方向摘要判断；正式选题须核指南</x:v>
      </x:c>
      <x:c r="J91" s="30" t="str">
        <x:v>未记录／待核</x:v>
      </x:c>
      <x:c r="K91" s="30" t="str">
        <x:v>经费/申报资格/限制：面向校内，不属于外部研究人员可申请开放基金</x:v>
      </x:c>
      <x:c r="L91" s="30" t="str">
        <x:v>固定成员合作要求待核</x:v>
      </x:c>
      <x:c r="M91" s="30" t="str">
        <x:v>是否外拨待核</x:v>
      </x:c>
      <x:c r="N91" s="30" t="str">
        <x:v>研究周期待核</x:v>
      </x:c>
      <x:c r="O91" s="30" t="str">
        <x:v>成果与署名规则待核</x:v>
      </x:c>
      <x:c r="P91" s="30" t="str">
        <x:v>申请书、盖章及提交方式待核</x:v>
      </x:c>
      <x:c r="Q91" s="30" t="str">
        <x:v>https://smse.nuist.edu.cn/info/1081/7576.htm</x:v>
      </x:c>
      <x:c r="R91" s="30" t="str"/>
      <x:c r="S91" s="30" t="str">
        <x:v>仅继承来源信息/待核</x:v>
      </x:c>
      <x:c r="T91" s="30" t="str">
        <x:v>缺逐附件完成证据/不适用</x:v>
      </x:c>
      <x:c r="U91" s="30" t="str">
        <x:v>2026-10-08（资料核对；并非所有项目重新官网复核）</x:v>
      </x:c>
      <x:c r="V91" s="30" t="str">
        <x:v>关注下一年度开放指南</x:v>
      </x:c>
      <x:c r="W91" s="30" t="str">
        <x:v>经费/申报资格/限制：面向校内，不属于外部研究人员可申请开放基金</x:v>
      </x:c>
      <x:c r="X91" s="30" t="str">
        <x:v>共有基线v0.8</x:v>
      </x:c>
      <x:c r="Y91" s="30" t="str">
        <x:v>v0.8:M184</x:v>
      </x:c>
      <x:c r="Z91" s="30" t="str">
        <x:v>原编号保留</x:v>
      </x:c>
    </x:row>
    <x:row r="92" ht="36" customHeight="1">
      <x:c r="A92" s="30" t="str">
        <x:v>M190</x:v>
      </x:c>
      <x:c r="B92" s="30" t="str">
        <x:v>开放基金/课题候选</x:v>
      </x:c>
      <x:c r="C92" s="30" t="str">
        <x:v>西北工业大学</x:v>
      </x:c>
      <x:c r="D92" s="30" t="str">
        <x:v>空天地海一体化大数据应用技术国家工程实验室</x:v>
      </x:c>
      <x:c r="E92" s="30" t="str">
        <x:v>2026-09-20</x:v>
      </x:c>
      <x:c r="F92" s="30" t="str">
        <x:v>已截止·历史储备</x:v>
      </x:c>
      <x:c r="G92" s="30" t="str">
        <x:v>高</x:v>
      </x:c>
      <x:c r="H92" s="30" t="str">
        <x:v>多模态信息融合、平台具身智能、跨域多机器人智能协同；原研究对象为超声机器人，需调整场景</x:v>
      </x:c>
      <x:c r="I92" s="30" t="str">
        <x:v>与面上项目科学内容匹配程度依方向摘要判断；正式选题须核指南</x:v>
      </x:c>
      <x:c r="J92" s="30" t="str">
        <x:v>5万重点/2万一般</x:v>
      </x:c>
      <x:c r="K92" s="30" t="str">
        <x:v>副高及以上；联合固定成员；5万重点/2万一般；经费不外拨；成果署名实验室</x:v>
      </x:c>
      <x:c r="L92" s="30" t="str">
        <x:v>固定成员合作要求待核</x:v>
      </x:c>
      <x:c r="M92" s="30" t="str">
        <x:v>是否外拨待核</x:v>
      </x:c>
      <x:c r="N92" s="30" t="str">
        <x:v>研究周期待核</x:v>
      </x:c>
      <x:c r="O92" s="30" t="str">
        <x:v>成果与署名规则待核</x:v>
      </x:c>
      <x:c r="P92" s="30" t="str">
        <x:v>申请书、盖章及提交方式待核</x:v>
      </x:c>
      <x:c r="Q92" s="30" t="str">
        <x:v>https://asgo.nwpu.edu.cn/info/1014/1084.htm</x:v>
      </x:c>
      <x:c r="R92" s="30" t="str"/>
      <x:c r="S92" s="30" t="str">
        <x:v>仅继承来源信息/待核</x:v>
      </x:c>
      <x:c r="T92" s="30" t="str">
        <x:v>缺逐附件完成证据/不适用</x:v>
      </x:c>
      <x:c r="U92" s="30" t="str">
        <x:v>2026-10-08（资料核对；并非所有项目重新官网复核）</x:v>
      </x:c>
      <x:c r="V92" s="30" t="str">
        <x:v>关注下一年度开放指南</x:v>
      </x:c>
      <x:c r="W92" s="30" t="str">
        <x:v>副高及以上；联合固定成员；5万重点/2万一般；经费不外拨；成果署名实验室</x:v>
      </x:c>
      <x:c r="X92" s="30" t="str">
        <x:v>筛选对话 v1.0</x:v>
      </x:c>
      <x:c r="Y92" s="30" t="str">
        <x:v>筛选对话v1.0:M185</x:v>
      </x:c>
      <x:c r="Z92" s="30" t="str">
        <x:v>重编号为M190，消除编号冲突</x:v>
      </x:c>
    </x:row>
    <x:row r="93" ht="36" customHeight="1">
      <x:c r="A93" s="30" t="str">
        <x:v>M167</x:v>
      </x:c>
      <x:c r="B93" s="30" t="str">
        <x:v>开放基金/课题候选</x:v>
      </x:c>
      <x:c r="C93" s="30" t="str">
        <x:v>东南大学</x:v>
      </x:c>
      <x:c r="D93" s="30" t="str">
        <x:v>移动通信全国重点实验室</x:v>
      </x:c>
      <x:c r="E93" s="30" t="str">
        <x:v>2026-09-25</x:v>
      </x:c>
      <x:c r="F93" s="30" t="str">
        <x:v>已截止·历史储备</x:v>
      </x:c>
      <x:c r="G93" s="30" t="str">
        <x:v>高</x:v>
      </x:c>
      <x:c r="H93" s="30" t="str">
        <x:v>通信系统、智能无线与信息感知；超声机器人原课题难直接复用</x:v>
      </x:c>
      <x:c r="I93" s="30" t="str">
        <x:v>与面上项目科学内容匹配程度依方向摘要判断；正式选题须核指南</x:v>
      </x:c>
      <x:c r="J93" s="30" t="str">
        <x:v>5-10万元</x:v>
      </x:c>
      <x:c r="K93" s="30" t="str">
        <x:v>经费/申报资格/限制：2027年指南；需匹配通信研究方向；资助5-10万元；成果要求严</x:v>
      </x:c>
      <x:c r="L93" s="30" t="str">
        <x:v>固定成员合作要求待核</x:v>
      </x:c>
      <x:c r="M93" s="30" t="str">
        <x:v>是否外拨待核</x:v>
      </x:c>
      <x:c r="N93" s="30" t="str">
        <x:v>研究周期待核</x:v>
      </x:c>
      <x:c r="O93" s="30" t="str">
        <x:v>成果与署名规则待核</x:v>
      </x:c>
      <x:c r="P93" s="30" t="str">
        <x:v>申请书、盖章及提交方式待核</x:v>
      </x:c>
      <x:c r="Q93" s="30" t="str">
        <x:v>https://ncrl.seu.edu.cn/2026/0803/c15598a578768/page.htm</x:v>
      </x:c>
      <x:c r="R93" s="30" t="str"/>
      <x:c r="S93" s="30" t="str">
        <x:v>仅继承来源信息/待核</x:v>
      </x:c>
      <x:c r="T93" s="30" t="str">
        <x:v>缺逐附件完成证据/不适用</x:v>
      </x:c>
      <x:c r="U93" s="30" t="str">
        <x:v>2026-10-08（资料核对；并非所有项目重新官网复核）</x:v>
      </x:c>
      <x:c r="V93" s="30" t="str">
        <x:v>关注下一年度开放指南</x:v>
      </x:c>
      <x:c r="W93" s="30" t="str">
        <x:v>经费/申报资格/限制：2027年指南；需匹配通信研究方向；资助5-10万元；成果要求严</x:v>
      </x:c>
      <x:c r="X93" s="30" t="str">
        <x:v>共有基线v0.8</x:v>
      </x:c>
      <x:c r="Y93" s="30" t="str">
        <x:v>v0.8:M167</x:v>
      </x:c>
      <x:c r="Z93" s="30" t="str">
        <x:v>原编号保留</x:v>
      </x:c>
    </x:row>
    <x:row r="94" ht="36" customHeight="1">
      <x:c r="A94" s="30" t="str">
        <x:v>M149</x:v>
      </x:c>
      <x:c r="B94" s="30" t="str">
        <x:v>开放基金/课题候选</x:v>
      </x:c>
      <x:c r="C94" s="30" t="str">
        <x:v>哈尔滨工业大学</x:v>
      </x:c>
      <x:c r="D94" s="30" t="str">
        <x:v>特种环境复合材料技术国家级重点实验室</x:v>
      </x:c>
      <x:c r="E94" s="30" t="str">
        <x:v>2026-09-26</x:v>
      </x:c>
      <x:c r="F94" s="30" t="str">
        <x:v>已截止·历史储备</x:v>
      </x:c>
      <x:c r="G94" s="30" t="str">
        <x:v>高</x:v>
      </x:c>
      <x:c r="H94" s="30" t="str">
        <x:v>匹配研究方向：柔性应变传感器、复合材料结构监测；与原超声机器人课题直接关联较弱</x:v>
      </x:c>
      <x:c r="I94" s="30" t="str">
        <x:v>与面上项目科学内容匹配程度依方向摘要判断；正式选题须核指南</x:v>
      </x:c>
      <x:c r="J94" s="30" t="str">
        <x:v>资格/经费/成果：资助60~80万元，周期2年，电子申请书并需信息公开审查材料（历史记录）</x:v>
      </x:c>
      <x:c r="K94" s="30" t="str">
        <x:v>申请资格待核</x:v>
      </x:c>
      <x:c r="L94" s="30" t="str">
        <x:v>固定成员合作要求待核</x:v>
      </x:c>
      <x:c r="M94" s="30" t="str">
        <x:v>是否外拨待核</x:v>
      </x:c>
      <x:c r="N94" s="30" t="str">
        <x:v>研究周期待核</x:v>
      </x:c>
      <x:c r="O94" s="30" t="str">
        <x:v>成果与署名规则待核</x:v>
      </x:c>
      <x:c r="P94" s="30" t="str">
        <x:v>申请书、盖章及提交方式待核</x:v>
      </x:c>
      <x:c r="Q94" s="30" t="str">
        <x:v>https://ccms.hit.edu.cn/2026/0918/c13809a401763/page.htm</x:v>
      </x:c>
      <x:c r="R94" s="30" t="str"/>
      <x:c r="S94" s="30" t="str">
        <x:v>仅继承来源信息/待核</x:v>
      </x:c>
      <x:c r="T94" s="30" t="str">
        <x:v>缺逐附件完成证据/不适用</x:v>
      </x:c>
      <x:c r="U94" s="30" t="str">
        <x:v>2026-10-08（资料核对；并非所有项目重新官网复核）</x:v>
      </x:c>
      <x:c r="V94" s="30" t="str">
        <x:v>关注下一年度开放指南</x:v>
      </x:c>
      <x:c r="W94" s="30" t="str">
        <x:v>申请资格待核</x:v>
      </x:c>
      <x:c r="X94" s="30" t="str">
        <x:v>共有基线v0.8</x:v>
      </x:c>
      <x:c r="Y94" s="30" t="str">
        <x:v>v0.8:M149</x:v>
      </x:c>
      <x:c r="Z94" s="30" t="str">
        <x:v>原编号保留</x:v>
      </x:c>
    </x:row>
    <x:row r="95" ht="36" customHeight="1">
      <x:c r="A95" s="30" t="str">
        <x:v>M120</x:v>
      </x:c>
      <x:c r="B95" s="30" t="str">
        <x:v>开放基金/课题候选</x:v>
      </x:c>
      <x:c r="C95" s="30" t="str">
        <x:v>美的集团</x:v>
      </x:c>
      <x:c r="D95" s="30" t="str">
        <x:v>重载机器人全国重点实验室（蓝橙实验室）</x:v>
      </x:c>
      <x:c r="E95" s="30" t="str">
        <x:v>2025-02-28</x:v>
      </x:c>
      <x:c r="F95" s="30" t="str">
        <x:v>已截止·历史储备</x:v>
      </x:c>
      <x:c r="G95" s="30" t="str">
        <x:v>中</x:v>
      </x:c>
      <x:c r="H95" s="30" t="str">
        <x:v>机器人动力学、智能控制、多模态融合、人机协同</x:v>
      </x:c>
      <x:c r="I95" s="30" t="str">
        <x:v>与面上项目科学内容匹配程度依方向摘要判断；正式选题须核指南</x:v>
      </x:c>
      <x:c r="J95" s="30" t="str">
        <x:v>未记录／待核</x:v>
      </x:c>
      <x:c r="K95" s="30" t="str">
        <x:v>申请资格待核</x:v>
      </x:c>
      <x:c r="L95" s="30" t="str">
        <x:v>固定成员合作要求待核</x:v>
      </x:c>
      <x:c r="M95" s="30" t="str">
        <x:v>是否外拨待核</x:v>
      </x:c>
      <x:c r="N95" s="30" t="str">
        <x:v>研究周期待核</x:v>
      </x:c>
      <x:c r="O95" s="30" t="str">
        <x:v>成果与署名规则待核</x:v>
      </x:c>
      <x:c r="P95" s="30" t="str">
        <x:v>申请书、盖章及提交方式待核</x:v>
      </x:c>
      <x:c r="Q95" s="30" t="str">
        <x:v>https://www.midea.com.cn/zh/about-midea/news/0326</x:v>
      </x:c>
      <x:c r="R95" s="30" t="str"/>
      <x:c r="S95" s="30" t="str">
        <x:v>仅继承来源信息/待核</x:v>
      </x:c>
      <x:c r="T95" s="30" t="str">
        <x:v>缺逐附件完成证据/不适用</x:v>
      </x:c>
      <x:c r="U95" s="30" t="str">
        <x:v>2026-10-08（资料核对；并非所有项目重新官网复核）</x:v>
      </x:c>
      <x:c r="V95" s="30" t="str">
        <x:v>关注下一年度开放指南</x:v>
      </x:c>
      <x:c r="W95" s="30" t="str">
        <x:v>申请资格待核</x:v>
      </x:c>
      <x:c r="X95" s="30" t="str">
        <x:v>共有基线v0.8</x:v>
      </x:c>
      <x:c r="Y95" s="30" t="str">
        <x:v>v0.8:M120</x:v>
      </x:c>
      <x:c r="Z95" s="30" t="str">
        <x:v>原编号保留</x:v>
      </x:c>
    </x:row>
    <x:row r="96" ht="36" customHeight="1">
      <x:c r="A96" s="30" t="str">
        <x:v>M045</x:v>
      </x:c>
      <x:c r="B96" s="30" t="str">
        <x:v>开放基金/课题候选</x:v>
      </x:c>
      <x:c r="C96" s="30" t="str">
        <x:v>东南大学</x:v>
      </x:c>
      <x:c r="D96" s="30" t="str">
        <x:v>复杂工程系统测量与控制教育部重点实验室</x:v>
      </x:c>
      <x:c r="E96" s="30" t="str">
        <x:v>2025-04-25</x:v>
      </x:c>
      <x:c r="F96" s="30" t="str">
        <x:v>已截止·历史储备</x:v>
      </x:c>
      <x:c r="G96" s="30" t="str">
        <x:v>中</x:v>
      </x:c>
      <x:c r="H96" s="30" t="str">
        <x:v>复杂系统测量；系统建模；机器人智能控制</x:v>
      </x:c>
      <x:c r="I96" s="30" t="str">
        <x:v>与面上项目科学内容匹配程度依方向摘要判断；正式选题须核指南</x:v>
      </x:c>
      <x:c r="J96" s="30" t="str">
        <x:v>未记录／待核</x:v>
      </x:c>
      <x:c r="K96" s="30" t="str">
        <x:v>申请资格待核</x:v>
      </x:c>
      <x:c r="L96" s="30" t="str">
        <x:v>固定成员合作要求待核</x:v>
      </x:c>
      <x:c r="M96" s="30" t="str">
        <x:v>是否外拨待核</x:v>
      </x:c>
      <x:c r="N96" s="30" t="str">
        <x:v>研究周期待核</x:v>
      </x:c>
      <x:c r="O96" s="30" t="str">
        <x:v>成果与署名规则待核</x:v>
      </x:c>
      <x:c r="P96" s="30" t="str">
        <x:v>申请书、盖章及提交方式待核</x:v>
      </x:c>
      <x:c r="Q96" s="30" t="str">
        <x:v>https://automation.seu.edu.cn/2025/0409/c24460a524408/page.htm</x:v>
      </x:c>
      <x:c r="R96" s="30" t="str">
        <x:v>https://automation.seu.edu.cn/mccse/2025/0408/c33958a524288/page.htm</x:v>
      </x:c>
      <x:c r="S96" s="30" t="str">
        <x:v>仅继承来源信息/待核</x:v>
      </x:c>
      <x:c r="T96" s="30" t="str">
        <x:v>缺逐附件完成证据/不适用</x:v>
      </x:c>
      <x:c r="U96" s="30" t="str">
        <x:v>2026-10-08（资料核对；并非所有项目重新官网复核）</x:v>
      </x:c>
      <x:c r="V96" s="30" t="str">
        <x:v>关注下一年度开放指南</x:v>
      </x:c>
      <x:c r="W96" s="30" t="str">
        <x:v>申请资格待核</x:v>
      </x:c>
      <x:c r="X96" s="30" t="str">
        <x:v>共有基线v0.8</x:v>
      </x:c>
      <x:c r="Y96" s="30" t="str">
        <x:v>v0.8:M045</x:v>
      </x:c>
      <x:c r="Z96" s="30" t="str">
        <x:v>原编号保留</x:v>
      </x:c>
    </x:row>
    <x:row r="97" ht="36" customHeight="1">
      <x:c r="A97" s="30" t="str">
        <x:v>M132</x:v>
      </x:c>
      <x:c r="B97" s="30" t="str">
        <x:v>开放基金/课题候选</x:v>
      </x:c>
      <x:c r="C97" s="30" t="str">
        <x:v>安徽·安徽工业大学</x:v>
      </x:c>
      <x:c r="D97" s="30" t="str">
        <x:v>复杂系统多学科管理与控制安徽普通高校重点实验室</x:v>
      </x:c>
      <x:c r="E97" s="30" t="str">
        <x:v>2025-04-30</x:v>
      </x:c>
      <x:c r="F97" s="30" t="str">
        <x:v>已截止·历史储备</x:v>
      </x:c>
      <x:c r="G97" s="30" t="str">
        <x:v>中</x:v>
      </x:c>
      <x:c r="H97" s="30" t="str">
        <x:v>方向/边界：复杂智能体系统协同控制、共融机器人控制、系统动态与优化；流程工业等</x:v>
      </x:c>
      <x:c r="I97" s="30" t="str">
        <x:v>与面上项目科学内容匹配程度依方向摘要判断；正式选题须核指南</x:v>
      </x:c>
      <x:c r="J97" s="30" t="str">
        <x:v>未记录／待核</x:v>
      </x:c>
      <x:c r="K97" s="30" t="str">
        <x:v>资助/资格/证据：与其它纵向基金申报书重复存在明确禁止条款；一般至少二类以上期刊1篇且实验室署名；官网正式指南</x:v>
      </x:c>
      <x:c r="L97" s="30" t="str">
        <x:v>固定成员合作要求待核</x:v>
      </x:c>
      <x:c r="M97" s="30" t="str">
        <x:v>是否外拨待核</x:v>
      </x:c>
      <x:c r="N97" s="30" t="str">
        <x:v>研究周期待核</x:v>
      </x:c>
      <x:c r="O97" s="30" t="str">
        <x:v>成果与署名规则待核</x:v>
      </x:c>
      <x:c r="P97" s="30" t="str">
        <x:v>申请书、盖章及提交方式待核</x:v>
      </x:c>
      <x:c r="Q97" s="30" t="str">
        <x:v>https://fzxt.ahut.edu.cn/info/1017/1276.htm</x:v>
      </x:c>
      <x:c r="R97" s="30" t="str"/>
      <x:c r="S97" s="30" t="str">
        <x:v>仅继承来源信息/待核</x:v>
      </x:c>
      <x:c r="T97" s="30" t="str">
        <x:v>缺逐附件完成证据/不适用</x:v>
      </x:c>
      <x:c r="U97" s="30" t="str">
        <x:v>2026-10-08（资料核对；并非所有项目重新官网复核）</x:v>
      </x:c>
      <x:c r="V97" s="30" t="str">
        <x:v>关注下一年度开放指南</x:v>
      </x:c>
      <x:c r="W97" s="30" t="str">
        <x:v>资助/资格/证据：与其它纵向基金申报书重复存在明确禁止条款；一般至少二类以上期刊1篇且实验室署名；官网正式指南</x:v>
      </x:c>
      <x:c r="X97" s="30" t="str">
        <x:v>共有基线v0.8</x:v>
      </x:c>
      <x:c r="Y97" s="30" t="str">
        <x:v>v0.8:M132</x:v>
      </x:c>
      <x:c r="Z97" s="30" t="str">
        <x:v>原编号保留</x:v>
      </x:c>
    </x:row>
    <x:row r="98" ht="36" customHeight="1">
      <x:c r="A98" s="30" t="str">
        <x:v>M092</x:v>
      </x:c>
      <x:c r="B98" s="30" t="str">
        <x:v>开放基金/课题候选</x:v>
      </x:c>
      <x:c r="C98" s="30" t="str">
        <x:v>西安交通大学第一附属医院</x:v>
      </x:c>
      <x:c r="D98" s="30" t="str">
        <x:v>陕西省磁医学重点实验室</x:v>
      </x:c>
      <x:c r="E98" s="30" t="str">
        <x:v>2025-05-31</x:v>
      </x:c>
      <x:c r="F98" s="30" t="str">
        <x:v>已截止·历史储备</x:v>
      </x:c>
      <x:c r="G98" s="30" t="str">
        <x:v>中</x:v>
      </x:c>
      <x:c r="H98" s="30" t="str">
        <x:v>磁医疗设备；磁控微型机器人；生物医学装备</x:v>
      </x:c>
      <x:c r="I98" s="30" t="str">
        <x:v>与面上项目科学内容匹配程度依方向摘要判断；正式选题须核指南</x:v>
      </x:c>
      <x:c r="J98" s="30" t="str">
        <x:v>未记录／待核</x:v>
      </x:c>
      <x:c r="K98" s="30" t="str">
        <x:v>申请资格待核</x:v>
      </x:c>
      <x:c r="L98" s="30" t="str">
        <x:v>固定成员合作要求待核</x:v>
      </x:c>
      <x:c r="M98" s="30" t="str">
        <x:v>是否外拨待核</x:v>
      </x:c>
      <x:c r="N98" s="30" t="str">
        <x:v>研究周期待核</x:v>
      </x:c>
      <x:c r="O98" s="30" t="str">
        <x:v>成果与署名规则待核</x:v>
      </x:c>
      <x:c r="P98" s="30" t="str">
        <x:v>申请书、盖章及提交方式待核</x:v>
      </x:c>
      <x:c r="Q98" s="30" t="str">
        <x:v>https://psrm.xjtu.edu.cn/info/1028/2601.htm</x:v>
      </x:c>
      <x:c r="R98" s="30" t="str"/>
      <x:c r="S98" s="30" t="str">
        <x:v>来源档案写明核过官网</x:v>
      </x:c>
      <x:c r="T98" s="30" t="str">
        <x:v>缺逐附件完成证据/不适用</x:v>
      </x:c>
      <x:c r="U98" s="30" t="str">
        <x:v>2026-10-08（资料核对；并非所有项目重新官网复核）</x:v>
      </x:c>
      <x:c r="V98" s="30" t="str">
        <x:v>关注下一年度开放指南</x:v>
      </x:c>
      <x:c r="W98" s="30" t="str">
        <x:v>申请资格待核</x:v>
      </x:c>
      <x:c r="X98" s="30" t="str">
        <x:v>共有基线v0.8</x:v>
      </x:c>
      <x:c r="Y98" s="30" t="str">
        <x:v>v0.8:M092</x:v>
      </x:c>
      <x:c r="Z98" s="30" t="str">
        <x:v>原编号保留</x:v>
      </x:c>
    </x:row>
    <x:row r="99" ht="36" customHeight="1">
      <x:c r="A99" s="30" t="str">
        <x:v>D-GZU-001</x:v>
      </x:c>
      <x:c r="B99" s="30" t="str">
        <x:v>开放基金/课题候选</x:v>
      </x:c>
      <x:c r="C99" s="30" t="str">
        <x:v>贵州大学</x:v>
      </x:c>
      <x:c r="D99" s="30" t="str">
        <x:v>贵州省先进医学成像与智能计算全省重点实验室</x:v>
      </x:c>
      <x:c r="E99" s="30" t="str">
        <x:v>2025-06-26</x:v>
      </x:c>
      <x:c r="F99" s="30" t="str">
        <x:v>已截止·历史储备</x:v>
      </x:c>
      <x:c r="G99" s="30" t="str">
        <x:v>中</x:v>
      </x:c>
      <x:c r="H99" s="30" t="str">
        <x:v>医学图像质量评价、AI医学成像/分割/融合；偏临床影像</x:v>
      </x:c>
      <x:c r="I99" s="30" t="str">
        <x:v>超声研究方法关联，但实际医学成像模态/临床对象不同</x:v>
      </x:c>
      <x:c r="J99" s="30" t="str">
        <x:v>一般3万元；重点6万元</x:v>
      </x:c>
      <x:c r="K99" s="30" t="str">
        <x:v>近三年主持省部级及以上项目</x:v>
      </x:c>
      <x:c r="L99" s="30" t="str">
        <x:v>须联合1名固定研究人员</x:v>
      </x:c>
      <x:c r="M99" s="30" t="str">
        <x:v>是否外拨待核</x:v>
      </x:c>
      <x:c r="N99" s="30" t="str">
        <x:v>研究周期待核</x:v>
      </x:c>
      <x:c r="O99" s="30" t="str">
        <x:v>成果须按规定署名实验室</x:v>
      </x:c>
      <x:c r="P99" s="30" t="str">
        <x:v>本年度截止；下一批次以官网公告为准</x:v>
      </x:c>
      <x:c r="Q99" s="30" t="str">
        <x:v>https://cs.gzu.edu.cn/_t2870/2025/0526/c16278a250729/page.htm</x:v>
      </x:c>
      <x:c r="R99" s="30" t="str"/>
      <x:c r="S99" s="30" t="str">
        <x:v>并行对话历史官方公告证据；本轮未重开附件</x:v>
      </x:c>
      <x:c r="T99" s="30" t="str">
        <x:v>附件未完整复核</x:v>
      </x:c>
      <x:c r="U99" s="30" t="str">
        <x:v>2026-10-08（资料核对；并非所有项目重新官网复核）</x:v>
      </x:c>
      <x:c r="V99" s="30" t="str">
        <x:v>下一年度指南跟踪</x:v>
      </x:c>
      <x:c r="W99" s="30" t="str">
        <x:v>近三年主持省部级及以上项目</x:v>
      </x:c>
      <x:c r="X99" s="30" t="str">
        <x:v>并行增量D-GZU-001</x:v>
      </x:c>
      <x:c r="Y99" s="30" t="str">
        <x:v>D-GZU-001</x:v>
      </x:c>
      <x:c r="Z99" s="30" t="str">
        <x:v>v1.1未收录，新增独立增量（待最终批次去重）</x:v>
      </x:c>
    </x:row>
    <x:row r="100" ht="36" customHeight="1">
      <x:c r="A100" s="30" t="str">
        <x:v>M165</x:v>
      </x:c>
      <x:c r="B100" s="30" t="str">
        <x:v>开放基金/课题候选</x:v>
      </x:c>
      <x:c r="C100" s="30" t="str">
        <x:v>澳门大学</x:v>
      </x:c>
      <x:c r="D100" s="30" t="str">
        <x:v>智慧城市物联网全国重点实验室（SKL-IoTSC）</x:v>
      </x:c>
      <x:c r="E100" s="30" t="str">
        <x:v>2025-08-15</x:v>
      </x:c>
      <x:c r="F100" s="30" t="str">
        <x:v>已截止·历史储备</x:v>
      </x:c>
      <x:c r="G100" s="30" t="str">
        <x:v>中</x:v>
      </x:c>
      <x:c r="H100" s="30" t="str">
        <x:v>中低：智能传感、城市大数据与智能技术、智慧交通；若仅抽取机器人感知/决策基础技术可部分接近，智慧城市应用限定</x:v>
      </x:c>
      <x:c r="I100" s="30" t="str">
        <x:v>与面上项目科学内容匹配程度依方向摘要判断；正式选题须核指南</x:v>
      </x:c>
      <x:c r="J100" s="30" t="str">
        <x:v>每项最高澳门币8万元（历史记录）</x:v>
      </x:c>
      <x:c r="K100" s="30" t="str">
        <x:v>官方指南接受境内外人员；需要博士学位或相当科研职务及与实验室全职成员合作，具体以批次申请PDF为准</x:v>
      </x:c>
      <x:c r="L100" s="30" t="str">
        <x:v>固定成员合作要求待核</x:v>
      </x:c>
      <x:c r="M100" s="30" t="str">
        <x:v>是否外拨待核</x:v>
      </x:c>
      <x:c r="N100" s="30" t="str">
        <x:v>研究周期待核</x:v>
      </x:c>
      <x:c r="O100" s="30" t="str">
        <x:v>成果与署名规则待核</x:v>
      </x:c>
      <x:c r="P100" s="30" t="str">
        <x:v>申请书、盖章及提交方式待核</x:v>
      </x:c>
      <x:c r="Q100" s="30" t="str">
        <x:v>https://skliotsc.um.edu.mo/wp-content/uploads/2025/08/IOTSC-Guidelines-for-ORP-2026-2027.pdf</x:v>
      </x:c>
      <x:c r="R100" s="30" t="str"/>
      <x:c r="S100" s="30" t="str">
        <x:v>仅继承来源信息/待核</x:v>
      </x:c>
      <x:c r="T100" s="30" t="str">
        <x:v>缺逐附件完成证据/不适用</x:v>
      </x:c>
      <x:c r="U100" s="30" t="str">
        <x:v>2026-10-08（资料核对；并非所有项目重新官网复核）</x:v>
      </x:c>
      <x:c r="V100" s="30" t="str">
        <x:v>关注下一年度开放指南</x:v>
      </x:c>
      <x:c r="W100" s="30" t="str">
        <x:v>官方指南接受境内外人员；需要博士学位或相当科研职务及与实验室全职成员合作，具体以批次申请PDF为准</x:v>
      </x:c>
      <x:c r="X100" s="30" t="str">
        <x:v>共有基线v0.8</x:v>
      </x:c>
      <x:c r="Y100" s="30" t="str">
        <x:v>v0.8:M165</x:v>
      </x:c>
      <x:c r="Z100" s="30" t="str">
        <x:v>原编号保留</x:v>
      </x:c>
    </x:row>
    <x:row r="101" ht="36" customHeight="1">
      <x:c r="A101" s="30" t="str">
        <x:v>M042</x:v>
      </x:c>
      <x:c r="B101" s="30" t="str">
        <x:v>开放基金/课题候选</x:v>
      </x:c>
      <x:c r="C101" s="30" t="str">
        <x:v>安徽工程大学</x:v>
      </x:c>
      <x:c r="D101" s="30" t="str">
        <x:v>高端装备先进感知与智能控制教育部重点实验室</x:v>
      </x:c>
      <x:c r="E101" s="30" t="str">
        <x:v>2025-09-03</x:v>
      </x:c>
      <x:c r="F101" s="30" t="str">
        <x:v>已截止·历史储备</x:v>
      </x:c>
      <x:c r="G101" s="30" t="str">
        <x:v>中</x:v>
      </x:c>
      <x:c r="H101" s="30" t="str">
        <x:v>复杂系统建模；工业机器人；智能控制与优化</x:v>
      </x:c>
      <x:c r="I101" s="30" t="str">
        <x:v>与面上项目科学内容匹配程度依方向摘要判断；正式选题须核指南</x:v>
      </x:c>
      <x:c r="J101" s="30" t="str">
        <x:v>约5万元/项（历史记录）</x:v>
      </x:c>
      <x:c r="K101" s="30" t="str">
        <x:v>申请资格待核</x:v>
      </x:c>
      <x:c r="L101" s="30" t="str">
        <x:v>固定成员合作要求待核</x:v>
      </x:c>
      <x:c r="M101" s="30" t="str">
        <x:v>是否外拨待核</x:v>
      </x:c>
      <x:c r="N101" s="30" t="str">
        <x:v>研究周期待核</x:v>
      </x:c>
      <x:c r="O101" s="30" t="str">
        <x:v>成果与署名规则待核</x:v>
      </x:c>
      <x:c r="P101" s="30" t="str">
        <x:v>申请书、盖章及提交方式待核</x:v>
      </x:c>
      <x:c r="Q101" s="30" t="str">
        <x:v>https://cee.ahpu.edu.cn/lapic/2025/0827/c7174a253666/page.htm</x:v>
      </x:c>
      <x:c r="R101" s="30" t="str">
        <x:v>https://cee.ahpu.edu.cn/lapic/2025/0827/c7174a253666/page.htm</x:v>
      </x:c>
      <x:c r="S101" s="30" t="str">
        <x:v>仅继承来源信息/待核</x:v>
      </x:c>
      <x:c r="T101" s="30" t="str">
        <x:v>缺逐附件完成证据/不适用</x:v>
      </x:c>
      <x:c r="U101" s="30" t="str">
        <x:v>2026-10-08（资料核对；并非所有项目重新官网复核）</x:v>
      </x:c>
      <x:c r="V101" s="30" t="str">
        <x:v>关注下一年度开放指南</x:v>
      </x:c>
      <x:c r="W101" s="30" t="str">
        <x:v>申请资格待核</x:v>
      </x:c>
      <x:c r="X101" s="30" t="str">
        <x:v>共有基线v0.8</x:v>
      </x:c>
      <x:c r="Y101" s="30" t="str">
        <x:v>v0.8:M042</x:v>
      </x:c>
      <x:c r="Z101" s="30" t="str">
        <x:v>原编号保留</x:v>
      </x:c>
    </x:row>
    <x:row r="102" ht="36" customHeight="1">
      <x:c r="A102" s="30" t="str">
        <x:v>M118</x:v>
      </x:c>
      <x:c r="B102" s="30" t="str">
        <x:v>开放基金/课题候选</x:v>
      </x:c>
      <x:c r="C102" s="30" t="str">
        <x:v>中原工学院</x:v>
      </x:c>
      <x:c r="D102" s="30" t="str">
        <x:v>河南省计算智能与智能系统重点实验室</x:v>
      </x:c>
      <x:c r="E102" s="30" t="str">
        <x:v>2025-11-07</x:v>
      </x:c>
      <x:c r="F102" s="30" t="str">
        <x:v>已截止·历史储备</x:v>
      </x:c>
      <x:c r="G102" s="30" t="str">
        <x:v>中</x:v>
      </x:c>
      <x:c r="H102" s="30" t="str">
        <x:v>复杂系统感知—规划—控制、约束多目标优化、神经网络与强化/智能控制等方法。</x:v>
      </x:c>
      <x:c r="I102" s="30" t="str">
        <x:v>与面上项目科学内容匹配程度依方向摘要判断；正式选题须核指南</x:v>
      </x:c>
      <x:c r="J102" s="30" t="str">
        <x:v>未记录／待核</x:v>
      </x:c>
      <x:c r="K102" s="30" t="str">
        <x:v>申请资格待核</x:v>
      </x:c>
      <x:c r="L102" s="30" t="str">
        <x:v>固定成员合作要求待核</x:v>
      </x:c>
      <x:c r="M102" s="30" t="str">
        <x:v>是否外拨待核</x:v>
      </x:c>
      <x:c r="N102" s="30" t="str">
        <x:v>研究周期待核</x:v>
      </x:c>
      <x:c r="O102" s="30" t="str">
        <x:v>成果与署名规则待核</x:v>
      </x:c>
      <x:c r="P102" s="30" t="str">
        <x:v>申请书、盖章及提交方式待核</x:v>
      </x:c>
      <x:c r="Q102" s="30" t="str">
        <x:v>https://kjc.zut.edu.cn/info/1056/6187.htm</x:v>
      </x:c>
      <x:c r="R102" s="30" t="str"/>
      <x:c r="S102" s="30" t="str">
        <x:v>仅继承来源信息/待核</x:v>
      </x:c>
      <x:c r="T102" s="30" t="str">
        <x:v>缺逐附件完成证据/不适用</x:v>
      </x:c>
      <x:c r="U102" s="30" t="str">
        <x:v>2026-10-08（资料核对；并非所有项目重新官网复核）</x:v>
      </x:c>
      <x:c r="V102" s="30" t="str">
        <x:v>关注下一年度开放指南</x:v>
      </x:c>
      <x:c r="W102" s="30" t="str">
        <x:v>申请资格待核</x:v>
      </x:c>
      <x:c r="X102" s="30" t="str">
        <x:v>共有基线v0.8</x:v>
      </x:c>
      <x:c r="Y102" s="30" t="str">
        <x:v>v0.8:M118</x:v>
      </x:c>
      <x:c r="Z102" s="30" t="str">
        <x:v>原编号保留</x:v>
      </x:c>
    </x:row>
    <x:row r="103" ht="36" customHeight="1">
      <x:c r="A103" s="30" t="str">
        <x:v>M001</x:v>
      </x:c>
      <x:c r="B103" s="30" t="str">
        <x:v>开放基金/课题候选</x:v>
      </x:c>
      <x:c r="C103" s="30" t="str">
        <x:v>上海交通大学</x:v>
      </x:c>
      <x:c r="D103" s="30" t="str">
        <x:v>机械系统与振动全国重点实验室</x:v>
      </x:c>
      <x:c r="E103" s="30" t="str">
        <x:v>2025-11-14</x:v>
      </x:c>
      <x:c r="F103" s="30" t="str">
        <x:v>已截止·历史储备</x:v>
      </x:c>
      <x:c r="G103" s="30" t="str">
        <x:v>中</x:v>
      </x:c>
      <x:c r="H103" s="30" t="str">
        <x:v>柔性多体动力学；耦合建模；智能机器人；自适应控制</x:v>
      </x:c>
      <x:c r="I103" s="30" t="str">
        <x:v>与面上项目科学内容匹配程度依方向摘要判断；正式选题须核指南</x:v>
      </x:c>
      <x:c r="J103" s="30" t="str">
        <x:v>未记录／待核</x:v>
      </x:c>
      <x:c r="K103" s="30" t="str">
        <x:v>申请资格待核</x:v>
      </x:c>
      <x:c r="L103" s="30" t="str">
        <x:v>固定成员合作要求待核</x:v>
      </x:c>
      <x:c r="M103" s="30" t="str">
        <x:v>是否外拨待核</x:v>
      </x:c>
      <x:c r="N103" s="30" t="str">
        <x:v>研究周期待核</x:v>
      </x:c>
      <x:c r="O103" s="30" t="str">
        <x:v>成果与署名规则待核</x:v>
      </x:c>
      <x:c r="P103" s="30" t="str">
        <x:v>申请书、盖章及提交方式待核</x:v>
      </x:c>
      <x:c r="Q103" s="30" t="str">
        <x:v>https://msv.sjtu.edu.cn/notice/156.html</x:v>
      </x:c>
      <x:c r="R103" s="30" t="str">
        <x:v>https://msv.sjtu.edu.cn/notice/156.html</x:v>
      </x:c>
      <x:c r="S103" s="30" t="str">
        <x:v>仅继承来源信息/待核</x:v>
      </x:c>
      <x:c r="T103" s="30" t="str">
        <x:v>缺逐附件完成证据/不适用</x:v>
      </x:c>
      <x:c r="U103" s="30" t="str">
        <x:v>2026-10-08（资料核对；并非所有项目重新官网复核）</x:v>
      </x:c>
      <x:c r="V103" s="30" t="str">
        <x:v>关注下一年度开放指南</x:v>
      </x:c>
      <x:c r="W103" s="30" t="str">
        <x:v>申请资格待核</x:v>
      </x:c>
      <x:c r="X103" s="30" t="str">
        <x:v>共有基线v0.8</x:v>
      </x:c>
      <x:c r="Y103" s="30" t="str">
        <x:v>v0.8:M001</x:v>
      </x:c>
      <x:c r="Z103" s="30" t="str">
        <x:v>原编号保留</x:v>
      </x:c>
    </x:row>
    <x:row r="104" ht="36" customHeight="1">
      <x:c r="A104" s="30" t="str">
        <x:v>M052</x:v>
      </x:c>
      <x:c r="B104" s="30" t="str">
        <x:v>开放基金/课题候选</x:v>
      </x:c>
      <x:c r="C104" s="30" t="str">
        <x:v>湖南师范大学</x:v>
      </x:c>
      <x:c r="D104" s="30" t="str">
        <x:v>计算与随机数学教育部重点实验室</x:v>
      </x:c>
      <x:c r="E104" s="30" t="str">
        <x:v>2025-11-21</x:v>
      </x:c>
      <x:c r="F104" s="30" t="str">
        <x:v>已截止·历史储备</x:v>
      </x:c>
      <x:c r="G104" s="30" t="str">
        <x:v>中</x:v>
      </x:c>
      <x:c r="H104" s="30" t="str">
        <x:v>机器人视觉；图像处理；智能计算方法</x:v>
      </x:c>
      <x:c r="I104" s="30" t="str">
        <x:v>与面上项目科学内容匹配程度依方向摘要判断；正式选题须核指南</x:v>
      </x:c>
      <x:c r="J104" s="30" t="str">
        <x:v>未记录／待核</x:v>
      </x:c>
      <x:c r="K104" s="30" t="str">
        <x:v>申请资格待核</x:v>
      </x:c>
      <x:c r="L104" s="30" t="str">
        <x:v>固定成员合作要求待核</x:v>
      </x:c>
      <x:c r="M104" s="30" t="str">
        <x:v>是否外拨待核</x:v>
      </x:c>
      <x:c r="N104" s="30" t="str">
        <x:v>研究周期待核</x:v>
      </x:c>
      <x:c r="O104" s="30" t="str">
        <x:v>成果与署名规则待核</x:v>
      </x:c>
      <x:c r="P104" s="30" t="str">
        <x:v>申请书、盖章及提交方式待核</x:v>
      </x:c>
      <x:c r="Q104" s="30" t="str">
        <x:v>https://lcsm.hunnu.edu.cn/info/1422/5435.htm</x:v>
      </x:c>
      <x:c r="R104" s="30" t="str"/>
      <x:c r="S104" s="30" t="str">
        <x:v>仅继承来源信息/待核</x:v>
      </x:c>
      <x:c r="T104" s="30" t="str">
        <x:v>缺逐附件完成证据/不适用</x:v>
      </x:c>
      <x:c r="U104" s="30" t="str">
        <x:v>2026-10-08（资料核对；并非所有项目重新官网复核）</x:v>
      </x:c>
      <x:c r="V104" s="30" t="str">
        <x:v>关注下一年度开放指南</x:v>
      </x:c>
      <x:c r="W104" s="30" t="str">
        <x:v>申请资格待核</x:v>
      </x:c>
      <x:c r="X104" s="30" t="str">
        <x:v>共有基线v0.8</x:v>
      </x:c>
      <x:c r="Y104" s="30" t="str">
        <x:v>v0.8:M052</x:v>
      </x:c>
      <x:c r="Z104" s="30" t="str">
        <x:v>原编号保留</x:v>
      </x:c>
    </x:row>
    <x:row r="105" ht="36" customHeight="1">
      <x:c r="A105" s="30" t="str">
        <x:v>M061</x:v>
      </x:c>
      <x:c r="B105" s="30" t="str">
        <x:v>开放基金/课题候选</x:v>
      </x:c>
      <x:c r="C105" s="30" t="str">
        <x:v>安徽工业大学</x:v>
      </x:c>
      <x:c r="D105" s="30" t="str">
        <x:v>安徽省特种重载机器人重点实验室</x:v>
      </x:c>
      <x:c r="E105" s="30" t="str">
        <x:v>2025-11-30</x:v>
      </x:c>
      <x:c r="F105" s="30" t="str">
        <x:v>已截止·历史储备</x:v>
      </x:c>
      <x:c r="G105" s="30" t="str">
        <x:v>中</x:v>
      </x:c>
      <x:c r="H105" s="30" t="str">
        <x:v>机器人智能控制；机器视觉；机器学习；多源信息融合</x:v>
      </x:c>
      <x:c r="I105" s="30" t="str">
        <x:v>与面上项目科学内容匹配程度依方向摘要判断；正式选题须核指南</x:v>
      </x:c>
      <x:c r="J105" s="30" t="str">
        <x:v>未记录／待核</x:v>
      </x:c>
      <x:c r="K105" s="30" t="str">
        <x:v>要求本室合作人员；成果第一完成单位、专利权归属存在明显约束</x:v>
      </x:c>
      <x:c r="L105" s="30" t="str">
        <x:v>固定成员合作要求待核</x:v>
      </x:c>
      <x:c r="M105" s="30" t="str">
        <x:v>是否外拨待核</x:v>
      </x:c>
      <x:c r="N105" s="30" t="str">
        <x:v>研究周期待核</x:v>
      </x:c>
      <x:c r="O105" s="30" t="str">
        <x:v>成果与署名规则待核</x:v>
      </x:c>
      <x:c r="P105" s="30" t="str">
        <x:v>申请书、盖章及提交方式待核</x:v>
      </x:c>
      <x:c r="Q105" s="30" t="str">
        <x:v>https://robotlab.ahut.edu.cn/info/1549/1412.htm</x:v>
      </x:c>
      <x:c r="R105" s="30" t="str">
        <x:v>https://robotlab.ahut.edu.cn/info/1549/1412.htm</x:v>
      </x:c>
      <x:c r="S105" s="30" t="str">
        <x:v>来源档案写明核过官网</x:v>
      </x:c>
      <x:c r="T105" s="30" t="str">
        <x:v>缺逐附件完成证据/不适用</x:v>
      </x:c>
      <x:c r="U105" s="30" t="str">
        <x:v>2026-10-08（资料核对；并非所有项目重新官网复核）</x:v>
      </x:c>
      <x:c r="V105" s="30" t="str">
        <x:v>关注下一年度开放指南</x:v>
      </x:c>
      <x:c r="W105" s="30" t="str">
        <x:v>要求本室合作人员；成果第一完成单位、专利权归属存在明显约束</x:v>
      </x:c>
      <x:c r="X105" s="30" t="str">
        <x:v>共有基线v0.8</x:v>
      </x:c>
      <x:c r="Y105" s="30" t="str">
        <x:v>v0.8:M061</x:v>
      </x:c>
      <x:c r="Z105" s="30" t="str">
        <x:v>原编号保留</x:v>
      </x:c>
    </x:row>
    <x:row r="106" ht="36" customHeight="1">
      <x:c r="A106" s="30" t="str">
        <x:v>M048</x:v>
      </x:c>
      <x:c r="B106" s="30" t="str">
        <x:v>开放基金/课题候选</x:v>
      </x:c>
      <x:c r="C106" s="30" t="str">
        <x:v>华东交通大学</x:v>
      </x:c>
      <x:c r="D106" s="30" t="str">
        <x:v>交通智能运维技术与装备教育部重点实验室</x:v>
      </x:c>
      <x:c r="E106" s="30" t="str">
        <x:v>2025-12-31</x:v>
      </x:c>
      <x:c r="F106" s="30" t="str">
        <x:v>已截止·历史储备</x:v>
      </x:c>
      <x:c r="G106" s="30" t="str">
        <x:v>中</x:v>
      </x:c>
      <x:c r="H106" s="30" t="str">
        <x:v>机器人运动控制；智能传感；多源信息融合</x:v>
      </x:c>
      <x:c r="I106" s="30" t="str">
        <x:v>与面上项目科学内容匹配程度依方向摘要判断；正式选题须核指南</x:v>
      </x:c>
      <x:c r="J106" s="30" t="str">
        <x:v>未记录／待核</x:v>
      </x:c>
      <x:c r="K106" s="30" t="str">
        <x:v>交通场景</x:v>
      </x:c>
      <x:c r="L106" s="30" t="str">
        <x:v>固定成员合作要求待核</x:v>
      </x:c>
      <x:c r="M106" s="30" t="str">
        <x:v>是否外拨待核</x:v>
      </x:c>
      <x:c r="N106" s="30" t="str">
        <x:v>研究周期待核</x:v>
      </x:c>
      <x:c r="O106" s="30" t="str">
        <x:v>成果与署名规则待核</x:v>
      </x:c>
      <x:c r="P106" s="30" t="str">
        <x:v>申请书、盖章及提交方式待核</x:v>
      </x:c>
      <x:c r="Q106" s="30" t="str">
        <x:v>https://tiom.ecjtu.edu.cn/info/1047/2192.htm</x:v>
      </x:c>
      <x:c r="R106" s="30" t="str"/>
      <x:c r="S106" s="30" t="str">
        <x:v>仅继承来源信息/待核</x:v>
      </x:c>
      <x:c r="T106" s="30" t="str">
        <x:v>缺逐附件完成证据/不适用</x:v>
      </x:c>
      <x:c r="U106" s="30" t="str">
        <x:v>2026-10-08（资料核对；并非所有项目重新官网复核）</x:v>
      </x:c>
      <x:c r="V106" s="30" t="str">
        <x:v>关注下一年度开放指南</x:v>
      </x:c>
      <x:c r="W106" s="30" t="str">
        <x:v>交通场景</x:v>
      </x:c>
      <x:c r="X106" s="30" t="str">
        <x:v>共有基线v0.8</x:v>
      </x:c>
      <x:c r="Y106" s="30" t="str">
        <x:v>v0.8:M048</x:v>
      </x:c>
      <x:c r="Z106" s="30" t="str">
        <x:v>原编号保留</x:v>
      </x:c>
    </x:row>
    <x:row r="107" ht="36" customHeight="1">
      <x:c r="A107" s="30" t="str">
        <x:v>M122</x:v>
      </x:c>
      <x:c r="B107" s="30" t="str">
        <x:v>开放基金/课题候选</x:v>
      </x:c>
      <x:c r="C107" s="30" t="str">
        <x:v>香港理工大学</x:v>
      </x:c>
      <x:c r="D107" s="30" t="str">
        <x:v>超精密加工技术全国重点实验室</x:v>
      </x:c>
      <x:c r="E107" s="30" t="str">
        <x:v>2026-01-19</x:v>
      </x:c>
      <x:c r="F107" s="30" t="str">
        <x:v>已截止·历史储备</x:v>
      </x:c>
      <x:c r="G107" s="30" t="str">
        <x:v>中</x:v>
      </x:c>
      <x:c r="H107" s="30" t="str">
        <x:v>精密测量、智能装备、超精密加工；面向外部人员</x:v>
      </x:c>
      <x:c r="I107" s="30" t="str">
        <x:v>与面上项目科学内容匹配程度依方向摘要判断；正式选题须核指南</x:v>
      </x:c>
      <x:c r="J107" s="30" t="str">
        <x:v>未记录／待核</x:v>
      </x:c>
      <x:c r="K107" s="30" t="str">
        <x:v>申请资格待核</x:v>
      </x:c>
      <x:c r="L107" s="30" t="str">
        <x:v>固定成员合作要求待核</x:v>
      </x:c>
      <x:c r="M107" s="30" t="str">
        <x:v>是否外拨待核</x:v>
      </x:c>
      <x:c r="N107" s="30" t="str">
        <x:v>研究周期待核</x:v>
      </x:c>
      <x:c r="O107" s="30" t="str">
        <x:v>成果与署名规则待核</x:v>
      </x:c>
      <x:c r="P107" s="30" t="str">
        <x:v>申请书、盖章及提交方式待核</x:v>
      </x:c>
      <x:c r="Q107" s="30" t="str">
        <x:v>https://www.polyu.edu.hk/sklumt/open-research-project/call-for-application/?sc_lang=tc</x:v>
      </x:c>
      <x:c r="R107" s="30" t="str"/>
      <x:c r="S107" s="30" t="str">
        <x:v>仅继承来源信息/待核</x:v>
      </x:c>
      <x:c r="T107" s="30" t="str">
        <x:v>缺逐附件完成证据/不适用</x:v>
      </x:c>
      <x:c r="U107" s="30" t="str">
        <x:v>2026-10-08（资料核对；并非所有项目重新官网复核）</x:v>
      </x:c>
      <x:c r="V107" s="30" t="str">
        <x:v>关注下一年度开放指南</x:v>
      </x:c>
      <x:c r="W107" s="30" t="str">
        <x:v>申请资格待核</x:v>
      </x:c>
      <x:c r="X107" s="30" t="str">
        <x:v>共有基线v0.8</x:v>
      </x:c>
      <x:c r="Y107" s="30" t="str">
        <x:v>v0.8:M122</x:v>
      </x:c>
      <x:c r="Z107" s="30" t="str">
        <x:v>原编号保留</x:v>
      </x:c>
    </x:row>
    <x:row r="108" ht="36" customHeight="1">
      <x:c r="A108" s="30" t="str">
        <x:v>M121</x:v>
      </x:c>
      <x:c r="B108" s="30" t="str">
        <x:v>开放基金/课题候选</x:v>
      </x:c>
      <x:c r="C108" s="30" t="str">
        <x:v>中国科学院深海科学与工程研究所</x:v>
      </x:c>
      <x:c r="D108" s="30" t="str">
        <x:v>深海科学与智能技术全国重点实验室</x:v>
      </x:c>
      <x:c r="E108" s="30" t="str">
        <x:v>2026-01-20</x:v>
      </x:c>
      <x:c r="F108" s="30" t="str">
        <x:v>已截止·历史储备</x:v>
      </x:c>
      <x:c r="G108" s="30" t="str">
        <x:v>中</x:v>
      </x:c>
      <x:c r="H108" s="30" t="str">
        <x:v>无人装备智能控制、多源感知、融合技术；深海应用场景</x:v>
      </x:c>
      <x:c r="I108" s="30" t="str">
        <x:v>与面上项目科学内容匹配程度依方向摘要判断；正式选题须核指南</x:v>
      </x:c>
      <x:c r="J108" s="30" t="str">
        <x:v>未记录／待核</x:v>
      </x:c>
      <x:c r="K108" s="30" t="str">
        <x:v>申请资格待核</x:v>
      </x:c>
      <x:c r="L108" s="30" t="str">
        <x:v>固定成员合作要求待核</x:v>
      </x:c>
      <x:c r="M108" s="30" t="str">
        <x:v>是否外拨待核</x:v>
      </x:c>
      <x:c r="N108" s="30" t="str">
        <x:v>研究周期待核</x:v>
      </x:c>
      <x:c r="O108" s="30" t="str">
        <x:v>成果与署名规则待核</x:v>
      </x:c>
      <x:c r="P108" s="30" t="str">
        <x:v>申请书、盖章及提交方式待核</x:v>
      </x:c>
      <x:c r="Q108" s="30" t="str">
        <x:v>https://idsse.cas.cn/xwdt/tzgg/202512/t20251223_8031930.html</x:v>
      </x:c>
      <x:c r="R108" s="30" t="str"/>
      <x:c r="S108" s="30" t="str">
        <x:v>仅继承来源信息/待核</x:v>
      </x:c>
      <x:c r="T108" s="30" t="str">
        <x:v>缺逐附件完成证据/不适用</x:v>
      </x:c>
      <x:c r="U108" s="30" t="str">
        <x:v>2026-10-08（资料核对；并非所有项目重新官网复核）</x:v>
      </x:c>
      <x:c r="V108" s="30" t="str">
        <x:v>关注下一年度开放指南</x:v>
      </x:c>
      <x:c r="W108" s="30" t="str">
        <x:v>申请资格待核</x:v>
      </x:c>
      <x:c r="X108" s="30" t="str">
        <x:v>共有基线v0.8</x:v>
      </x:c>
      <x:c r="Y108" s="30" t="str">
        <x:v>v0.8:M121</x:v>
      </x:c>
      <x:c r="Z108" s="30" t="str">
        <x:v>原编号保留</x:v>
      </x:c>
    </x:row>
    <x:row r="109" ht="36" customHeight="1">
      <x:c r="A109" s="30" t="str">
        <x:v>M082</x:v>
      </x:c>
      <x:c r="B109" s="30" t="str">
        <x:v>开放基金/课题候选</x:v>
      </x:c>
      <x:c r="C109" s="30" t="str">
        <x:v>浙江大学台州研究院</x:v>
      </x:c>
      <x:c r="D109" s="30" t="str">
        <x:v>全省医疗智能决策重点实验室</x:v>
      </x:c>
      <x:c r="E109" s="30" t="str">
        <x:v>2026-02-28</x:v>
      </x:c>
      <x:c r="F109" s="30" t="str">
        <x:v>已截止·历史储备</x:v>
      </x:c>
      <x:c r="G109" s="30" t="str">
        <x:v>中</x:v>
      </x:c>
      <x:c r="H109" s="30" t="str">
        <x:v>多模态医疗信息融合；医疗智能决策；医学人工智能</x:v>
      </x:c>
      <x:c r="I109" s="30" t="str">
        <x:v>与面上项目科学内容匹配程度依方向摘要判断；正式选题须核指南</x:v>
      </x:c>
      <x:c r="J109" s="30" t="str">
        <x:v>未记录／待核</x:v>
      </x:c>
      <x:c r="K109" s="30" t="str">
        <x:v>申请资格待核</x:v>
      </x:c>
      <x:c r="L109" s="30" t="str">
        <x:v>固定成员合作要求待核</x:v>
      </x:c>
      <x:c r="M109" s="30" t="str">
        <x:v>是否外拨待核</x:v>
      </x:c>
      <x:c r="N109" s="30" t="str">
        <x:v>研究周期待核</x:v>
      </x:c>
      <x:c r="O109" s="30" t="str">
        <x:v>成果与署名规则待核</x:v>
      </x:c>
      <x:c r="P109" s="30" t="str">
        <x:v>申请书、盖章及提交方式待核</x:v>
      </x:c>
      <x:c r="Q109" s="30" t="str">
        <x:v>https://rizt.zju.edu.cn/2026/0122/c44789a3130666/page.htm</x:v>
      </x:c>
      <x:c r="R109" s="30" t="str"/>
      <x:c r="S109" s="30" t="str">
        <x:v>仅继承来源信息/待核</x:v>
      </x:c>
      <x:c r="T109" s="30" t="str">
        <x:v>缺逐附件完成证据/不适用</x:v>
      </x:c>
      <x:c r="U109" s="30" t="str">
        <x:v>2026-10-08（资料核对；并非所有项目重新官网复核）</x:v>
      </x:c>
      <x:c r="V109" s="30" t="str">
        <x:v>关注下一年度开放指南</x:v>
      </x:c>
      <x:c r="W109" s="30" t="str">
        <x:v>申请资格待核</x:v>
      </x:c>
      <x:c r="X109" s="30" t="str">
        <x:v>共有基线v0.8</x:v>
      </x:c>
      <x:c r="Y109" s="30" t="str">
        <x:v>v0.8:M082</x:v>
      </x:c>
      <x:c r="Z109" s="30" t="str">
        <x:v>原编号保留</x:v>
      </x:c>
    </x:row>
    <x:row r="110" ht="36" customHeight="1">
      <x:c r="A110" s="30" t="str">
        <x:v>M102</x:v>
      </x:c>
      <x:c r="B110" s="30" t="str">
        <x:v>开放基金/课题候选</x:v>
      </x:c>
      <x:c r="C110" s="30" t="str">
        <x:v>厦门工学院</x:v>
      </x:c>
      <x:c r="D110" s="30" t="str">
        <x:v>柔性制造装备集成福建省高校重点实验室</x:v>
      </x:c>
      <x:c r="E110" s="30" t="str">
        <x:v>2026-03-10</x:v>
      </x:c>
      <x:c r="F110" s="30" t="str">
        <x:v>已截止·历史储备</x:v>
      </x:c>
      <x:c r="G110" s="30" t="str">
        <x:v>中</x:v>
      </x:c>
      <x:c r="H110" s="30" t="str">
        <x:v>机器人与产线装备集成；数字化建模和仿真；智能控制与优化；机器视觉与图像处理</x:v>
      </x:c>
      <x:c r="I110" s="30" t="str">
        <x:v>与面上项目科学内容匹配程度依方向摘要判断；正式选题须核指南</x:v>
      </x:c>
      <x:c r="J110" s="30" t="str">
        <x:v>4万元且经费外拨</x:v>
      </x:c>
      <x:c r="K110" s="30" t="str">
        <x:v>中级以上职称或博士；需固定研究人员任第二负责人；4万元且经费外拨；通讯作者第一完成单位须为实验室</x:v>
      </x:c>
      <x:c r="L110" s="30" t="str">
        <x:v>固定成员合作要求待核</x:v>
      </x:c>
      <x:c r="M110" s="30" t="str">
        <x:v>是否外拨待核</x:v>
      </x:c>
      <x:c r="N110" s="30" t="str">
        <x:v>研究周期待核</x:v>
      </x:c>
      <x:c r="O110" s="30" t="str">
        <x:v>成果与署名规则待核</x:v>
      </x:c>
      <x:c r="P110" s="30" t="str">
        <x:v>申请书、盖章及提交方式待核</x:v>
      </x:c>
      <x:c r="Q110" s="30" t="str">
        <x:v>https://www.xit.edu.cn/kxyj/2026/0206/c1174a83598/page.htm</x:v>
      </x:c>
      <x:c r="R110" s="30" t="str">
        <x:v>https://www.xit.edu.cn/kxyj/2026/0206/c1174a83598/page.htm</x:v>
      </x:c>
      <x:c r="S110" s="30" t="str">
        <x:v>来源档案写明核过官网</x:v>
      </x:c>
      <x:c r="T110" s="30" t="str">
        <x:v>缺逐附件完成证据/不适用</x:v>
      </x:c>
      <x:c r="U110" s="30" t="str">
        <x:v>2026-10-08（资料核对；并非所有项目重新官网复核）</x:v>
      </x:c>
      <x:c r="V110" s="30" t="str">
        <x:v>关注下一年度开放指南</x:v>
      </x:c>
      <x:c r="W110" s="30" t="str">
        <x:v>中级以上职称或博士；需固定研究人员任第二负责人；4万元且经费外拨；通讯作者第一完成单位须为实验室</x:v>
      </x:c>
      <x:c r="X110" s="30" t="str">
        <x:v>共有基线v0.8</x:v>
      </x:c>
      <x:c r="Y110" s="30" t="str">
        <x:v>v0.8:M102</x:v>
      </x:c>
      <x:c r="Z110" s="30" t="str">
        <x:v>原编号保留</x:v>
      </x:c>
    </x:row>
    <x:row r="111" ht="36" customHeight="1">
      <x:c r="A111" s="30" t="str">
        <x:v>M020</x:v>
      </x:c>
      <x:c r="B111" s="30" t="str">
        <x:v>开放基金/课题候选</x:v>
      </x:c>
      <x:c r="C111" s="30" t="str">
        <x:v>中国科学院深圳先进技术研究院</x:v>
      </x:c>
      <x:c r="D111" s="30" t="str">
        <x:v>医学成像科学与技术系统全国重点实验室</x:v>
      </x:c>
      <x:c r="E111" s="30" t="str">
        <x:v>2026-03-15</x:v>
      </x:c>
      <x:c r="F111" s="30" t="str">
        <x:v>已截止·历史储备</x:v>
      </x:c>
      <x:c r="G111" s="30" t="str">
        <x:v>中</x:v>
      </x:c>
      <x:c r="H111" s="30" t="str">
        <x:v>超声成像；医学多模态功能成像；智能医疗装备</x:v>
      </x:c>
      <x:c r="I111" s="30" t="str">
        <x:v>与面上项目科学内容匹配程度依方向摘要判断；正式选题须核指南</x:v>
      </x:c>
      <x:c r="J111" s="30" t="str">
        <x:v>10万元</x:v>
      </x:c>
      <x:c r="K111" s="30" t="str">
        <x:v>博士或副高；与固定成员合作；一般基金10万元</x:v>
      </x:c>
      <x:c r="L111" s="30" t="str">
        <x:v>固定成员合作要求待核</x:v>
      </x:c>
      <x:c r="M111" s="30" t="str">
        <x:v>是否外拨待核</x:v>
      </x:c>
      <x:c r="N111" s="30" t="str">
        <x:v>研究周期待核</x:v>
      </x:c>
      <x:c r="O111" s="30" t="str">
        <x:v>成果与署名规则待核</x:v>
      </x:c>
      <x:c r="P111" s="30" t="str">
        <x:v>申请书、盖章及提交方式待核</x:v>
      </x:c>
      <x:c r="Q111" s="30" t="str">
        <x:v>https://medimaging.siat.ac.cn/cxqjzx/2026-02/13/article_2026021316251621975.html</x:v>
      </x:c>
      <x:c r="R111" s="30" t="str">
        <x:v>https://medimaging.siat.ac.cn/cxqjzx/2026-02/13/article_2026021316251621975.html</x:v>
      </x:c>
      <x:c r="S111" s="30" t="str">
        <x:v>来源档案写明核过官网</x:v>
      </x:c>
      <x:c r="T111" s="30" t="str">
        <x:v>缺逐附件完成证据/不适用</x:v>
      </x:c>
      <x:c r="U111" s="30" t="str">
        <x:v>2026-10-08（资料核对；并非所有项目重新官网复核）</x:v>
      </x:c>
      <x:c r="V111" s="30" t="str">
        <x:v>关注下一年度开放指南</x:v>
      </x:c>
      <x:c r="W111" s="30" t="str">
        <x:v>博士或副高；与固定成员合作；一般基金10万元</x:v>
      </x:c>
      <x:c r="X111" s="30" t="str">
        <x:v>共有基线v0.8</x:v>
      </x:c>
      <x:c r="Y111" s="30" t="str">
        <x:v>v0.8:M020</x:v>
      </x:c>
      <x:c r="Z111" s="30" t="str">
        <x:v>原编号保留</x:v>
      </x:c>
    </x:row>
    <x:row r="112" ht="36" customHeight="1">
      <x:c r="A112" s="30" t="str">
        <x:v>M150</x:v>
      </x:c>
      <x:c r="B112" s="30" t="str">
        <x:v>开放基金/课题候选</x:v>
      </x:c>
      <x:c r="C112" s="30" t="str">
        <x:v>澳门大学</x:v>
      </x:c>
      <x:c r="D112" s="30" t="str">
        <x:v>创新创业中心“大健康+”加速器（2026）</x:v>
      </x:c>
      <x:c r="E112" s="30" t="str">
        <x:v>2026-03-26</x:v>
      </x:c>
      <x:c r="F112" s="30" t="str">
        <x:v>已截止·历史储备</x:v>
      </x:c>
      <x:c r="G112" s="30" t="str">
        <x:v>中</x:v>
      </x:c>
      <x:c r="H112" s="30" t="str">
        <x:v>匹配研究方向：大健康科研成果转化体系、商业化服务和中药产业；不属于机器人理论研究开放基金</x:v>
      </x:c>
      <x:c r="I112" s="30" t="str">
        <x:v>与面上项目科学内容匹配程度依方向摘要判断；正式选题须核指南</x:v>
      </x:c>
      <x:c r="J112" s="30" t="str">
        <x:v>单项不超过20万澳门元（历史记录）</x:v>
      </x:c>
      <x:c r="K112" s="30" t="str">
        <x:v>申请资格待核</x:v>
      </x:c>
      <x:c r="L112" s="30" t="str">
        <x:v>固定成员合作要求待核</x:v>
      </x:c>
      <x:c r="M112" s="30" t="str">
        <x:v>是否外拨待核</x:v>
      </x:c>
      <x:c r="N112" s="30" t="str">
        <x:v>研究周期待核</x:v>
      </x:c>
      <x:c r="O112" s="30" t="str">
        <x:v>成果与署名规则待核</x:v>
      </x:c>
      <x:c r="P112" s="30" t="str">
        <x:v>申请书、盖章及提交方式待核</x:v>
      </x:c>
      <x:c r="Q112" s="30" t="str">
        <x:v>https://e-bulletin.um.edu.mo/notice/500662/</x:v>
      </x:c>
      <x:c r="R112" s="30" t="str"/>
      <x:c r="S112" s="30" t="str">
        <x:v>仅继承来源信息/待核</x:v>
      </x:c>
      <x:c r="T112" s="30" t="str">
        <x:v>缺逐附件完成证据/不适用</x:v>
      </x:c>
      <x:c r="U112" s="30" t="str">
        <x:v>2026-10-08（资料核对；并非所有项目重新官网复核）</x:v>
      </x:c>
      <x:c r="V112" s="30" t="str">
        <x:v>关注下一年度开放指南</x:v>
      </x:c>
      <x:c r="W112" s="30" t="str">
        <x:v>申请资格待核</x:v>
      </x:c>
      <x:c r="X112" s="30" t="str">
        <x:v>共有基线v0.8</x:v>
      </x:c>
      <x:c r="Y112" s="30" t="str">
        <x:v>v0.8:M150</x:v>
      </x:c>
      <x:c r="Z112" s="30" t="str">
        <x:v>原编号保留</x:v>
      </x:c>
    </x:row>
    <x:row r="113" ht="36" customHeight="1">
      <x:c r="A113" s="30" t="str">
        <x:v>M174</x:v>
      </x:c>
      <x:c r="B113" s="30" t="str">
        <x:v>开放基金/课题候选</x:v>
      </x:c>
      <x:c r="C113" s="30" t="str">
        <x:v>中科院苏州纳米技术与纳米仿生研究所</x:v>
      </x:c>
      <x:c r="D113" s="30" t="str">
        <x:v>江苏省类器官创制与精准医疗重点实验室</x:v>
      </x:c>
      <x:c r="E113" s="30" t="str">
        <x:v>2026-03-31</x:v>
      </x:c>
      <x:c r="F113" s="30" t="str">
        <x:v>已截止·历史储备</x:v>
      </x:c>
      <x:c r="G113" s="30" t="str">
        <x:v>中</x:v>
      </x:c>
      <x:c r="H113" s="30" t="str">
        <x:v>生物材料、类器官和精准诊疗；与机器人软组织交互只有远端相关</x:v>
      </x:c>
      <x:c r="I113" s="30" t="str">
        <x:v>与面上项目科学内容匹配程度依方向摘要判断；正式选题须核指南</x:v>
      </x:c>
      <x:c r="J113" s="30" t="str">
        <x:v>3-10万元</x:v>
      </x:c>
      <x:c r="K113" s="30" t="str">
        <x:v>经费/申报资格/限制：约3-10万元，必须紧扣类器官/精准医疗主题</x:v>
      </x:c>
      <x:c r="L113" s="30" t="str">
        <x:v>固定成员合作要求待核</x:v>
      </x:c>
      <x:c r="M113" s="30" t="str">
        <x:v>是否外拨待核</x:v>
      </x:c>
      <x:c r="N113" s="30" t="str">
        <x:v>研究周期待核</x:v>
      </x:c>
      <x:c r="O113" s="30" t="str">
        <x:v>成果与署名规则待核</x:v>
      </x:c>
      <x:c r="P113" s="30" t="str">
        <x:v>申请书、盖章及提交方式待核</x:v>
      </x:c>
      <x:c r="Q113" s="30" t="str">
        <x:v>https://sinano.cas.cn/news/xmtz/202601/t20260129_8120336.html</x:v>
      </x:c>
      <x:c r="R113" s="30" t="str"/>
      <x:c r="S113" s="30" t="str">
        <x:v>仅继承来源信息/待核</x:v>
      </x:c>
      <x:c r="T113" s="30" t="str">
        <x:v>缺逐附件完成证据/不适用</x:v>
      </x:c>
      <x:c r="U113" s="30" t="str">
        <x:v>2026-10-08（资料核对；并非所有项目重新官网复核）</x:v>
      </x:c>
      <x:c r="V113" s="30" t="str">
        <x:v>关注下一年度开放指南</x:v>
      </x:c>
      <x:c r="W113" s="30" t="str">
        <x:v>经费/申报资格/限制：约3-10万元，必须紧扣类器官/精准医疗主题</x:v>
      </x:c>
      <x:c r="X113" s="30" t="str">
        <x:v>共有基线v0.8</x:v>
      </x:c>
      <x:c r="Y113" s="30" t="str">
        <x:v>v0.8:M174</x:v>
      </x:c>
      <x:c r="Z113" s="30" t="str">
        <x:v>原编号保留</x:v>
      </x:c>
    </x:row>
    <x:row r="114" ht="36" customHeight="1">
      <x:c r="A114" s="30" t="str">
        <x:v>M072</x:v>
      </x:c>
      <x:c r="B114" s="30" t="str">
        <x:v>开放基金/课题候选</x:v>
      </x:c>
      <x:c r="C114" s="30" t="str">
        <x:v>新疆生产建设兵团相关单位</x:v>
      </x:c>
      <x:c r="D114" s="30" t="str">
        <x:v>建筑钢结构智能制造技术兵团重点实验室</x:v>
      </x:c>
      <x:c r="E114" s="30" t="str">
        <x:v>2026-04-10</x:v>
      </x:c>
      <x:c r="F114" s="30" t="str">
        <x:v>已截止·历史储备</x:v>
      </x:c>
      <x:c r="G114" s="30" t="str">
        <x:v>中</x:v>
      </x:c>
      <x:c r="H114" s="30" t="str">
        <x:v>钢结构柔性机器人；自适应装配；多传感融合；动态建模与路径规划</x:v>
      </x:c>
      <x:c r="I114" s="30" t="str">
        <x:v>与面上项目科学内容匹配程度依方向摘要判断；正式选题须核指南</x:v>
      </x:c>
      <x:c r="J114" s="30" t="str">
        <x:v>未记录／待核</x:v>
      </x:c>
      <x:c r="K114" s="30" t="str">
        <x:v>钢结构制造应用场景，非超声机器人</x:v>
      </x:c>
      <x:c r="L114" s="30" t="str">
        <x:v>固定成员合作要求待核</x:v>
      </x:c>
      <x:c r="M114" s="30" t="str">
        <x:v>是否外拨待核</x:v>
      </x:c>
      <x:c r="N114" s="30" t="str">
        <x:v>研究周期待核</x:v>
      </x:c>
      <x:c r="O114" s="30" t="str">
        <x:v>成果与署名规则待核</x:v>
      </x:c>
      <x:c r="P114" s="30" t="str">
        <x:v>申请书、盖章及提交方式待核</x:v>
      </x:c>
      <x:c r="Q114" s="30" t="str">
        <x:v>https://kjj.xjbt.gov.cn/c/2026-04-01/8477891.shtml</x:v>
      </x:c>
      <x:c r="R114" s="30" t="str"/>
      <x:c r="S114" s="30" t="str">
        <x:v>来源档案写明核过官网</x:v>
      </x:c>
      <x:c r="T114" s="30" t="str">
        <x:v>缺逐附件完成证据/不适用</x:v>
      </x:c>
      <x:c r="U114" s="30" t="str">
        <x:v>2026-10-08（资料核对；并非所有项目重新官网复核）</x:v>
      </x:c>
      <x:c r="V114" s="30" t="str">
        <x:v>关注下一年度开放指南</x:v>
      </x:c>
      <x:c r="W114" s="30" t="str">
        <x:v>钢结构制造应用场景，非超声机器人</x:v>
      </x:c>
      <x:c r="X114" s="30" t="str">
        <x:v>共有基线v0.8</x:v>
      </x:c>
      <x:c r="Y114" s="30" t="str">
        <x:v>v0.8:M072</x:v>
      </x:c>
      <x:c r="Z114" s="30" t="str">
        <x:v>原编号保留</x:v>
      </x:c>
    </x:row>
    <x:row r="115" ht="36" customHeight="1">
      <x:c r="A115" s="30" t="str">
        <x:v>M051</x:v>
      </x:c>
      <x:c r="B115" s="30" t="str">
        <x:v>开放基金/课题候选</x:v>
      </x:c>
      <x:c r="C115" s="30" t="str">
        <x:v>湖北大学</x:v>
      </x:c>
      <x:c r="D115" s="30" t="str">
        <x:v>智能感知系统与安全教育部重点实验室</x:v>
      </x:c>
      <x:c r="E115" s="30" t="str">
        <x:v>2026-04-15</x:v>
      </x:c>
      <x:c r="F115" s="30" t="str">
        <x:v>已截止·历史储备</x:v>
      </x:c>
      <x:c r="G115" s="30" t="str">
        <x:v>中</x:v>
      </x:c>
      <x:c r="H115" s="30" t="str">
        <x:v>多模态感知融合；智能感知与决策</x:v>
      </x:c>
      <x:c r="I115" s="30" t="str">
        <x:v>与面上项目科学内容匹配程度依方向摘要判断；正式选题须核指南</x:v>
      </x:c>
      <x:c r="J115" s="30" t="str">
        <x:v>未记录／待核</x:v>
      </x:c>
      <x:c r="K115" s="30" t="str">
        <x:v>外单位在岗在编；本室固定成员合作</x:v>
      </x:c>
      <x:c r="L115" s="30" t="str">
        <x:v>固定成员合作要求待核</x:v>
      </x:c>
      <x:c r="M115" s="30" t="str">
        <x:v>是否外拨待核</x:v>
      </x:c>
      <x:c r="N115" s="30" t="str">
        <x:v>研究周期待核</x:v>
      </x:c>
      <x:c r="O115" s="30" t="str">
        <x:v>成果与署名规则待核</x:v>
      </x:c>
      <x:c r="P115" s="30" t="str">
        <x:v>申请书、盖章及提交方式待核</x:v>
      </x:c>
      <x:c r="Q115" s="30" t="str">
        <x:v>https://isss.hubu.edu.cn/info/1080/1276.htm</x:v>
      </x:c>
      <x:c r="R115" s="30" t="str">
        <x:v>https://isss.hubei-university.com/info/1080/1276.htm</x:v>
      </x:c>
      <x:c r="S115" s="30" t="str">
        <x:v>来源档案写明核过官网</x:v>
      </x:c>
      <x:c r="T115" s="30" t="str">
        <x:v>缺逐附件完成证据/不适用</x:v>
      </x:c>
      <x:c r="U115" s="30" t="str">
        <x:v>2026-10-08（资料核对；并非所有项目重新官网复核）</x:v>
      </x:c>
      <x:c r="V115" s="30" t="str">
        <x:v>关注下一年度开放指南</x:v>
      </x:c>
      <x:c r="W115" s="30" t="str">
        <x:v>外单位在岗在编；本室固定成员合作</x:v>
      </x:c>
      <x:c r="X115" s="30" t="str">
        <x:v>共有基线v0.8</x:v>
      </x:c>
      <x:c r="Y115" s="30" t="str">
        <x:v>v0.8:M051</x:v>
      </x:c>
      <x:c r="Z115" s="30" t="str">
        <x:v>原编号保留</x:v>
      </x:c>
    </x:row>
    <x:row r="116" ht="36" customHeight="1">
      <x:c r="A116" s="30" t="str">
        <x:v>M081</x:v>
      </x:c>
      <x:c r="B116" s="30" t="str">
        <x:v>开放基金/课题候选</x:v>
      </x:c>
      <x:c r="C116" s="30" t="str">
        <x:v>宁波数字孪生（东方理工）研究院</x:v>
      </x:c>
      <x:c r="D116" s="30" t="str">
        <x:v>宁波市空间智能与数字衍生重点实验室</x:v>
      </x:c>
      <x:c r="E116" s="30" t="str">
        <x:v>2026-04-20</x:v>
      </x:c>
      <x:c r="F116" s="30" t="str">
        <x:v>已截止·历史储备</x:v>
      </x:c>
      <x:c r="G116" s="30" t="str">
        <x:v>中</x:v>
      </x:c>
      <x:c r="H116" s="30" t="str">
        <x:v>三维空间建模；数字孪生；智能感知</x:v>
      </x:c>
      <x:c r="I116" s="30" t="str">
        <x:v>与面上项目科学内容匹配程度依方向摘要判断；正式选题须核指南</x:v>
      </x:c>
      <x:c r="J116" s="30" t="str">
        <x:v>未记录／待核</x:v>
      </x:c>
      <x:c r="K116" s="30" t="str">
        <x:v>申请资格待核</x:v>
      </x:c>
      <x:c r="L116" s="30" t="str">
        <x:v>固定成员合作要求待核</x:v>
      </x:c>
      <x:c r="M116" s="30" t="str">
        <x:v>是否外拨待核</x:v>
      </x:c>
      <x:c r="N116" s="30" t="str">
        <x:v>研究周期待核</x:v>
      </x:c>
      <x:c r="O116" s="30" t="str">
        <x:v>成果与署名规则待核</x:v>
      </x:c>
      <x:c r="P116" s="30" t="str">
        <x:v>申请书、盖章及提交方式待核</x:v>
      </x:c>
      <x:c r="Q116" s="30" t="str">
        <x:v>https://idt.eitech.edu.cn/2411.html</x:v>
      </x:c>
      <x:c r="R116" s="30" t="str"/>
      <x:c r="S116" s="30" t="str">
        <x:v>仅继承来源信息/待核</x:v>
      </x:c>
      <x:c r="T116" s="30" t="str">
        <x:v>缺逐附件完成证据/不适用</x:v>
      </x:c>
      <x:c r="U116" s="30" t="str">
        <x:v>2026-10-08（资料核对；并非所有项目重新官网复核）</x:v>
      </x:c>
      <x:c r="V116" s="30" t="str">
        <x:v>关注下一年度开放指南</x:v>
      </x:c>
      <x:c r="W116" s="30" t="str">
        <x:v>申请资格待核</x:v>
      </x:c>
      <x:c r="X116" s="30" t="str">
        <x:v>共有基线v0.8</x:v>
      </x:c>
      <x:c r="Y116" s="30" t="str">
        <x:v>v0.8:M081</x:v>
      </x:c>
      <x:c r="Z116" s="30" t="str">
        <x:v>原编号保留</x:v>
      </x:c>
    </x:row>
    <x:row r="117" ht="36" customHeight="1">
      <x:c r="A117" s="30" t="str">
        <x:v>M090</x:v>
      </x:c>
      <x:c r="B117" s="30" t="str">
        <x:v>开放基金/课题候选</x:v>
      </x:c>
      <x:c r="C117" s="30" t="str">
        <x:v>重庆大学</x:v>
      </x:c>
      <x:c r="D117" s="30" t="str">
        <x:v>生物感知与多模态智能信息处理重庆市重点实验室</x:v>
      </x:c>
      <x:c r="E117" s="30" t="str">
        <x:v>2026-04-20</x:v>
      </x:c>
      <x:c r="F117" s="30" t="str">
        <x:v>已截止·历史储备</x:v>
      </x:c>
      <x:c r="G117" s="30" t="str">
        <x:v>中</x:v>
      </x:c>
      <x:c r="H117" s="30" t="str">
        <x:v>世界模型；具身智能；开放环境视觉感知；鲁棒学习</x:v>
      </x:c>
      <x:c r="I117" s="30" t="str">
        <x:v>与面上项目科学内容匹配程度依方向摘要判断；正式选题须核指南</x:v>
      </x:c>
      <x:c r="J117" s="30" t="str">
        <x:v>未记录／待核</x:v>
      </x:c>
      <x:c r="K117" s="30" t="str">
        <x:v>申请资格待核</x:v>
      </x:c>
      <x:c r="L117" s="30" t="str">
        <x:v>固定成员合作要求待核</x:v>
      </x:c>
      <x:c r="M117" s="30" t="str">
        <x:v>是否外拨待核</x:v>
      </x:c>
      <x:c r="N117" s="30" t="str">
        <x:v>研究周期待核</x:v>
      </x:c>
      <x:c r="O117" s="30" t="str">
        <x:v>成果与署名规则待核</x:v>
      </x:c>
      <x:c r="P117" s="30" t="str">
        <x:v>申请书、盖章及提交方式待核</x:v>
      </x:c>
      <x:c r="Q117" s="30" t="str">
        <x:v>https://www.ccee.cqu.edu.cn/info/1397/7727.htm</x:v>
      </x:c>
      <x:c r="R117" s="30" t="str">
        <x:v>https://www.ccee.cqu.edu.cn/info/1397/7727.htm</x:v>
      </x:c>
      <x:c r="S117" s="30" t="str">
        <x:v>仅继承来源信息/待核</x:v>
      </x:c>
      <x:c r="T117" s="30" t="str">
        <x:v>缺逐附件完成证据/不适用</x:v>
      </x:c>
      <x:c r="U117" s="30" t="str">
        <x:v>2026-10-08（资料核对；并非所有项目重新官网复核）</x:v>
      </x:c>
      <x:c r="V117" s="30" t="str">
        <x:v>关注下一年度开放指南</x:v>
      </x:c>
      <x:c r="W117" s="30" t="str">
        <x:v>申请资格待核</x:v>
      </x:c>
      <x:c r="X117" s="30" t="str">
        <x:v>共有基线v0.8</x:v>
      </x:c>
      <x:c r="Y117" s="30" t="str">
        <x:v>v0.8:M090</x:v>
      </x:c>
      <x:c r="Z117" s="30" t="str">
        <x:v>原编号保留</x:v>
      </x:c>
    </x:row>
    <x:row r="118" ht="36" customHeight="1">
      <x:c r="A118" s="30" t="str">
        <x:v>M067</x:v>
      </x:c>
      <x:c r="B118" s="30" t="str">
        <x:v>开放基金/课题候选</x:v>
      </x:c>
      <x:c r="C118" s="30" t="str">
        <x:v>齐鲁工业大学</x:v>
      </x:c>
      <x:c r="D118" s="30" t="str">
        <x:v>山东省无人系统智能技术与装备重点实验室</x:v>
      </x:c>
      <x:c r="E118" s="30" t="str">
        <x:v>2026-04-22</x:v>
      </x:c>
      <x:c r="F118" s="30" t="str">
        <x:v>已截止·历史储备</x:v>
      </x:c>
      <x:c r="G118" s="30" t="str">
        <x:v>中</x:v>
      </x:c>
      <x:c r="H118" s="30" t="str">
        <x:v>多模态感知、自主导航、鲁棒控制；无人机/无人系统场景</x:v>
      </x:c>
      <x:c r="I118" s="30" t="str">
        <x:v>与面上项目科学内容匹配程度依方向摘要判断；正式选题须核指南</x:v>
      </x:c>
      <x:c r="J118" s="30" t="str">
        <x:v>一般≤2万元/重点≤4万元（历史记录）</x:v>
      </x:c>
      <x:c r="K118" s="30" t="str">
        <x:v>申请资格待核</x:v>
      </x:c>
      <x:c r="L118" s="30" t="str">
        <x:v>固定成员合作要求待核</x:v>
      </x:c>
      <x:c r="M118" s="30" t="str">
        <x:v>是否外拨待核</x:v>
      </x:c>
      <x:c r="N118" s="30" t="str">
        <x:v>研究周期待核</x:v>
      </x:c>
      <x:c r="O118" s="30" t="str">
        <x:v>成果与署名规则待核</x:v>
      </x:c>
      <x:c r="P118" s="30" t="str">
        <x:v>申请书、盖章及提交方式待核</x:v>
      </x:c>
      <x:c r="Q118" s="30" t="str">
        <x:v>https://slx.qlu.edu.cn/_t1249/2026/0409/c3946a275414/page.htm</x:v>
      </x:c>
      <x:c r="R118" s="30" t="str">
        <x:v>https://slx.qlu.edu.cn/_t1249/2026/0409/c3946a275414/page.htm</x:v>
      </x:c>
      <x:c r="S118" s="30" t="str">
        <x:v>仅继承来源信息/待核</x:v>
      </x:c>
      <x:c r="T118" s="30" t="str">
        <x:v>缺逐附件完成证据/不适用</x:v>
      </x:c>
      <x:c r="U118" s="30" t="str">
        <x:v>2026-10-08（资料核对；并非所有项目重新官网复核）</x:v>
      </x:c>
      <x:c r="V118" s="30" t="str">
        <x:v>关注下一年度开放指南</x:v>
      </x:c>
      <x:c r="W118" s="30" t="str">
        <x:v>申请资格待核</x:v>
      </x:c>
      <x:c r="X118" s="30" t="str">
        <x:v>共有基线v0.8</x:v>
      </x:c>
      <x:c r="Y118" s="30" t="str">
        <x:v>v0.8:M067</x:v>
      </x:c>
      <x:c r="Z118" s="30" t="str">
        <x:v>原编号保留</x:v>
      </x:c>
    </x:row>
    <x:row r="119" ht="36" customHeight="1">
      <x:c r="A119" s="30" t="str">
        <x:v>M021</x:v>
      </x:c>
      <x:c r="B119" s="30" t="str">
        <x:v>开放基金/课题候选</x:v>
      </x:c>
      <x:c r="C119" s="30" t="str">
        <x:v>南京大学</x:v>
      </x:c>
      <x:c r="D119" s="30" t="str">
        <x:v>计算机软件新技术全国重点实验室</x:v>
      </x:c>
      <x:c r="E119" s="30" t="str">
        <x:v>2026-04-30</x:v>
      </x:c>
      <x:c r="F119" s="30" t="str">
        <x:v>已截止·历史储备</x:v>
      </x:c>
      <x:c r="G119" s="30" t="str">
        <x:v>中</x:v>
      </x:c>
      <x:c r="H119" s="30" t="str">
        <x:v>机器学习；智能体；多模态智能软件；具身相关基础方法</x:v>
      </x:c>
      <x:c r="I119" s="30" t="str">
        <x:v>与面上项目科学内容匹配程度依方向摘要判断；正式选题须核指南</x:v>
      </x:c>
      <x:c r="J119" s="30" t="str">
        <x:v>未记录／待核</x:v>
      </x:c>
      <x:c r="K119" s="30" t="str">
        <x:v>有2026年指南；具体申报资格需复核</x:v>
      </x:c>
      <x:c r="L119" s="30" t="str">
        <x:v>固定成员合作要求待核</x:v>
      </x:c>
      <x:c r="M119" s="30" t="str">
        <x:v>是否外拨待核</x:v>
      </x:c>
      <x:c r="N119" s="30" t="str">
        <x:v>研究周期待核</x:v>
      </x:c>
      <x:c r="O119" s="30" t="str">
        <x:v>成果与署名规则待核</x:v>
      </x:c>
      <x:c r="P119" s="30" t="str">
        <x:v>申请书、盖章及提交方式待核</x:v>
      </x:c>
      <x:c r="Q119" s="30" t="str">
        <x:v>https://keysoftlab.nju.edu.cn/1573/list.htm</x:v>
      </x:c>
      <x:c r="R119" s="30" t="str">
        <x:v>https://keysoftlab.nju.edu.cn/20/1a/c1579a204826/page.htm</x:v>
      </x:c>
      <x:c r="S119" s="30" t="str">
        <x:v>来源档案写明核过官网</x:v>
      </x:c>
      <x:c r="T119" s="30" t="str">
        <x:v>缺逐附件完成证据/不适用</x:v>
      </x:c>
      <x:c r="U119" s="30" t="str">
        <x:v>2026-10-08（资料核对；并非所有项目重新官网复核）</x:v>
      </x:c>
      <x:c r="V119" s="30" t="str">
        <x:v>关注下一年度开放指南</x:v>
      </x:c>
      <x:c r="W119" s="30" t="str">
        <x:v>有2026年指南；具体申报资格需复核</x:v>
      </x:c>
      <x:c r="X119" s="30" t="str">
        <x:v>共有基线v0.8</x:v>
      </x:c>
      <x:c r="Y119" s="30" t="str">
        <x:v>v0.8:M021</x:v>
      </x:c>
      <x:c r="Z119" s="30" t="str">
        <x:v>原编号保留</x:v>
      </x:c>
    </x:row>
    <x:row r="120" ht="36" customHeight="1">
      <x:c r="A120" s="30" t="str">
        <x:v>M040</x:v>
      </x:c>
      <x:c r="B120" s="30" t="str">
        <x:v>开放基金/课题候选</x:v>
      </x:c>
      <x:c r="C120" s="30" t="str">
        <x:v>吉林大学</x:v>
      </x:c>
      <x:c r="D120" s="30" t="str">
        <x:v>符号计算与知识工程教育部重点实验室</x:v>
      </x:c>
      <x:c r="E120" s="30" t="str">
        <x:v>2026-04-30</x:v>
      </x:c>
      <x:c r="F120" s="30" t="str">
        <x:v>已截止·历史储备</x:v>
      </x:c>
      <x:c r="G120" s="30" t="str">
        <x:v>中</x:v>
      </x:c>
      <x:c r="H120" s="30" t="str">
        <x:v>多模态学习；强化学习；智能决策</x:v>
      </x:c>
      <x:c r="I120" s="30" t="str">
        <x:v>与面上项目科学内容匹配程度依方向摘要判断；正式选题须核指南</x:v>
      </x:c>
      <x:c r="J120" s="30" t="str">
        <x:v>未记录／待核</x:v>
      </x:c>
      <x:c r="K120" s="30" t="str">
        <x:v>申请资格待核</x:v>
      </x:c>
      <x:c r="L120" s="30" t="str">
        <x:v>固定成员合作要求待核</x:v>
      </x:c>
      <x:c r="M120" s="30" t="str">
        <x:v>是否外拨待核</x:v>
      </x:c>
      <x:c r="N120" s="30" t="str">
        <x:v>研究周期待核</x:v>
      </x:c>
      <x:c r="O120" s="30" t="str">
        <x:v>成果与署名规则待核</x:v>
      </x:c>
      <x:c r="P120" s="30" t="str">
        <x:v>申请书、盖章及提交方式待核</x:v>
      </x:c>
      <x:c r="Q120" s="30" t="str">
        <x:v>https://scke.jlu.edu.cn/info/1071/1755.htm</x:v>
      </x:c>
      <x:c r="R120" s="30" t="str"/>
      <x:c r="S120" s="30" t="str">
        <x:v>仅继承来源信息/待核</x:v>
      </x:c>
      <x:c r="T120" s="30" t="str">
        <x:v>缺逐附件完成证据/不适用</x:v>
      </x:c>
      <x:c r="U120" s="30" t="str">
        <x:v>2026-10-08（资料核对；并非所有项目重新官网复核）</x:v>
      </x:c>
      <x:c r="V120" s="30" t="str">
        <x:v>关注下一年度开放指南</x:v>
      </x:c>
      <x:c r="W120" s="30" t="str">
        <x:v>申请资格待核</x:v>
      </x:c>
      <x:c r="X120" s="30" t="str">
        <x:v>共有基线v0.8</x:v>
      </x:c>
      <x:c r="Y120" s="30" t="str">
        <x:v>v0.8:M040</x:v>
      </x:c>
      <x:c r="Z120" s="30" t="str">
        <x:v>原编号保留</x:v>
      </x:c>
    </x:row>
    <x:row r="121" ht="36" customHeight="1">
      <x:c r="A121" s="30" t="str">
        <x:v>M060</x:v>
      </x:c>
      <x:c r="B121" s="30" t="str">
        <x:v>开放基金/课题候选</x:v>
      </x:c>
      <x:c r="C121" s="30" t="str">
        <x:v>四川文理学院</x:v>
      </x:c>
      <x:c r="D121" s="30" t="str">
        <x:v>警用智能机器人达州市重点实验室</x:v>
      </x:c>
      <x:c r="E121" s="30" t="str">
        <x:v>2026-04-30</x:v>
      </x:c>
      <x:c r="F121" s="30" t="str">
        <x:v>已截止·历史储备</x:v>
      </x:c>
      <x:c r="G121" s="30" t="str">
        <x:v>中</x:v>
      </x:c>
      <x:c r="H121" s="30" t="str">
        <x:v>运动规划；多模态感知；机器人自适应控制</x:v>
      </x:c>
      <x:c r="I121" s="30" t="str">
        <x:v>与面上项目科学内容匹配程度依方向摘要判断；正式选题须核指南</x:v>
      </x:c>
      <x:c r="J121" s="30" t="str">
        <x:v>未记录／待核</x:v>
      </x:c>
      <x:c r="K121" s="30" t="str">
        <x:v>警用场景限制</x:v>
      </x:c>
      <x:c r="L121" s="30" t="str">
        <x:v>固定成员合作要求待核</x:v>
      </x:c>
      <x:c r="M121" s="30" t="str">
        <x:v>是否外拨待核</x:v>
      </x:c>
      <x:c r="N121" s="30" t="str">
        <x:v>研究周期待核</x:v>
      </x:c>
      <x:c r="O121" s="30" t="str">
        <x:v>成果与署名规则待核</x:v>
      </x:c>
      <x:c r="P121" s="30" t="str">
        <x:v>申请书、盖章及提交方式待核</x:v>
      </x:c>
      <x:c r="Q121" s="30" t="str">
        <x:v>https://jqr.sasu.edu.cn/info/1009/1061.htm</x:v>
      </x:c>
      <x:c r="R121" s="30" t="str">
        <x:v>https://jqr.sasu.edu.cn/info/1009/1061.htm</x:v>
      </x:c>
      <x:c r="S121" s="30" t="str">
        <x:v>仅继承来源信息/待核</x:v>
      </x:c>
      <x:c r="T121" s="30" t="str">
        <x:v>缺逐附件完成证据/不适用</x:v>
      </x:c>
      <x:c r="U121" s="30" t="str">
        <x:v>2026-10-08（资料核对；并非所有项目重新官网复核）</x:v>
      </x:c>
      <x:c r="V121" s="30" t="str">
        <x:v>关注下一年度开放指南</x:v>
      </x:c>
      <x:c r="W121" s="30" t="str">
        <x:v>警用场景限制</x:v>
      </x:c>
      <x:c r="X121" s="30" t="str">
        <x:v>共有基线v0.8</x:v>
      </x:c>
      <x:c r="Y121" s="30" t="str">
        <x:v>v0.8:M060</x:v>
      </x:c>
      <x:c r="Z121" s="30" t="str">
        <x:v>原编号保留</x:v>
      </x:c>
    </x:row>
    <x:row r="122" ht="36" customHeight="1">
      <x:c r="A122" s="30" t="str">
        <x:v>M183</x:v>
      </x:c>
      <x:c r="B122" s="30" t="str">
        <x:v>开放基金/课题候选</x:v>
      </x:c>
      <x:c r="C122" s="30" t="str">
        <x:v>南京警察学院</x:v>
      </x:c>
      <x:c r="D122" s="30" t="str">
        <x:v>警犬技术公安部重点实验室</x:v>
      </x:c>
      <x:c r="E122" s="30" t="str">
        <x:v>2026-04-30</x:v>
      </x:c>
      <x:c r="F122" s="30" t="str">
        <x:v>已截止·历史储备</x:v>
      </x:c>
      <x:c r="G122" s="30" t="str">
        <x:v>中</x:v>
      </x:c>
      <x:c r="H122" s="30" t="str">
        <x:v>机器人感知和智能警务仅远距离方法交叉，警犬研究限定</x:v>
      </x:c>
      <x:c r="I122" s="30" t="str">
        <x:v>与面上项目科学内容匹配程度依方向摘要判断；正式选题须核指南</x:v>
      </x:c>
      <x:c r="J122" s="30" t="str">
        <x:v>未记录／待核</x:v>
      </x:c>
      <x:c r="K122" s="30" t="str">
        <x:v>经费/申报资格/限制：联合实验室固定研究人员，论文或专利成果要求；匹配低</x:v>
      </x:c>
      <x:c r="L122" s="30" t="str">
        <x:v>固定成员合作要求待核</x:v>
      </x:c>
      <x:c r="M122" s="30" t="str">
        <x:v>是否外拨待核</x:v>
      </x:c>
      <x:c r="N122" s="30" t="str">
        <x:v>研究周期待核</x:v>
      </x:c>
      <x:c r="O122" s="30" t="str">
        <x:v>成果与署名规则待核</x:v>
      </x:c>
      <x:c r="P122" s="30" t="str">
        <x:v>申请书、盖章及提交方式待核</x:v>
      </x:c>
      <x:c r="Q122" s="30" t="str">
        <x:v>https://www.njpu.edu.cn/2026/0420/c1693a102949/page.htm</x:v>
      </x:c>
      <x:c r="R122" s="30" t="str"/>
      <x:c r="S122" s="30" t="str">
        <x:v>仅继承来源信息/待核</x:v>
      </x:c>
      <x:c r="T122" s="30" t="str">
        <x:v>缺逐附件完成证据/不适用</x:v>
      </x:c>
      <x:c r="U122" s="30" t="str">
        <x:v>2026-10-08（资料核对；并非所有项目重新官网复核）</x:v>
      </x:c>
      <x:c r="V122" s="30" t="str">
        <x:v>关注下一年度开放指南</x:v>
      </x:c>
      <x:c r="W122" s="30" t="str">
        <x:v>经费/申报资格/限制：联合实验室固定研究人员，论文或专利成果要求；匹配低</x:v>
      </x:c>
      <x:c r="X122" s="30" t="str">
        <x:v>共有基线v0.8</x:v>
      </x:c>
      <x:c r="Y122" s="30" t="str">
        <x:v>v0.8:M183</x:v>
      </x:c>
      <x:c r="Z122" s="30" t="str">
        <x:v>原编号保留</x:v>
      </x:c>
    </x:row>
    <x:row r="123" ht="36" customHeight="1">
      <x:c r="A123" s="30" t="str">
        <x:v>M080</x:v>
      </x:c>
      <x:c r="B123" s="30" t="str">
        <x:v>开放基金/课题候选</x:v>
      </x:c>
      <x:c r="C123" s="30" t="str">
        <x:v>河南工业大学</x:v>
      </x:c>
      <x:c r="D123" s="30" t="str">
        <x:v>河南省超硬磨料磨削装备重点实验室</x:v>
      </x:c>
      <x:c r="E123" s="30" t="str">
        <x:v>2026-05-14</x:v>
      </x:c>
      <x:c r="F123" s="30" t="str">
        <x:v>已截止·历史储备</x:v>
      </x:c>
      <x:c r="G123" s="30" t="str">
        <x:v>中</x:v>
      </x:c>
      <x:c r="H123" s="30" t="str">
        <x:v>具身机器人磨削；多模态过程感知；机器人作业控制</x:v>
      </x:c>
      <x:c r="I123" s="30" t="str">
        <x:v>与面上项目科学内容匹配程度依方向摘要判断；正式选题须核指南</x:v>
      </x:c>
      <x:c r="J123" s="30" t="str">
        <x:v>未记录／待核</x:v>
      </x:c>
      <x:c r="K123" s="30" t="str">
        <x:v>加工场景约束，方法迁移</x:v>
      </x:c>
      <x:c r="L123" s="30" t="str">
        <x:v>固定成员合作要求待核</x:v>
      </x:c>
      <x:c r="M123" s="30" t="str">
        <x:v>是否外拨待核</x:v>
      </x:c>
      <x:c r="N123" s="30" t="str">
        <x:v>研究周期待核</x:v>
      </x:c>
      <x:c r="O123" s="30" t="str">
        <x:v>成果与署名规则待核</x:v>
      </x:c>
      <x:c r="P123" s="30" t="str">
        <x:v>申请书、盖章及提交方式待核</x:v>
      </x:c>
      <x:c r="Q123" s="30" t="str">
        <x:v>https://kjc.haut.edu.cn/info/1240/13366.htm</x:v>
      </x:c>
      <x:c r="R123" s="30" t="str">
        <x:v>https://kjc.haut.edu.cn/info/1240/13366.htm</x:v>
      </x:c>
      <x:c r="S123" s="30" t="str">
        <x:v>来源档案写明核过官网</x:v>
      </x:c>
      <x:c r="T123" s="30" t="str">
        <x:v>缺逐附件完成证据/不适用</x:v>
      </x:c>
      <x:c r="U123" s="30" t="str">
        <x:v>2026-10-08（资料核对；并非所有项目重新官网复核）</x:v>
      </x:c>
      <x:c r="V123" s="30" t="str">
        <x:v>关注下一年度开放指南</x:v>
      </x:c>
      <x:c r="W123" s="30" t="str">
        <x:v>加工场景约束，方法迁移</x:v>
      </x:c>
      <x:c r="X123" s="30" t="str">
        <x:v>共有基线v0.8</x:v>
      </x:c>
      <x:c r="Y123" s="30" t="str">
        <x:v>v0.8:M080</x:v>
      </x:c>
      <x:c r="Z123" s="30" t="str">
        <x:v>原编号保留</x:v>
      </x:c>
    </x:row>
    <x:row r="124" ht="36" customHeight="1">
      <x:c r="A124" s="30" t="str">
        <x:v>M126</x:v>
      </x:c>
      <x:c r="B124" s="30" t="str">
        <x:v>开放基金/课题候选</x:v>
      </x:c>
      <x:c r="C124" s="30" t="str">
        <x:v>泸州职业技术学院</x:v>
      </x:c>
      <x:c r="D124" s="30" t="str">
        <x:v>智能控制与电子器件应用技术泸州市重点实验室</x:v>
      </x:c>
      <x:c r="E124" s="30" t="str">
        <x:v>2026-05-15</x:v>
      </x:c>
      <x:c r="F124" s="30" t="str">
        <x:v>已截止·历史储备</x:v>
      </x:c>
      <x:c r="G124" s="30" t="str">
        <x:v>中</x:v>
      </x:c>
      <x:c r="H124" s="30" t="str">
        <x:v>智能控制与电子信息；通知提与泸州企业合作</x:v>
      </x:c>
      <x:c r="I124" s="30" t="str">
        <x:v>与面上项目科学内容匹配程度依方向摘要判断；正式选题须核指南</x:v>
      </x:c>
      <x:c r="J124" s="30" t="str">
        <x:v>未记录／待核</x:v>
      </x:c>
      <x:c r="K124" s="30" t="str">
        <x:v>申请资格待核</x:v>
      </x:c>
      <x:c r="L124" s="30" t="str">
        <x:v>固定成员合作要求待核</x:v>
      </x:c>
      <x:c r="M124" s="30" t="str">
        <x:v>是否外拨待核</x:v>
      </x:c>
      <x:c r="N124" s="30" t="str">
        <x:v>研究周期待核</x:v>
      </x:c>
      <x:c r="O124" s="30" t="str">
        <x:v>成果与署名规则待核</x:v>
      </x:c>
      <x:c r="P124" s="30" t="str">
        <x:v>申请书、盖章及提交方式待核</x:v>
      </x:c>
      <x:c r="Q124" s="30" t="str">
        <x:v>https://eed.lzy.edu.cn/info/1052/2555.htm</x:v>
      </x:c>
      <x:c r="R124" s="30" t="str"/>
      <x:c r="S124" s="30" t="str">
        <x:v>仅继承来源信息/待核</x:v>
      </x:c>
      <x:c r="T124" s="30" t="str">
        <x:v>缺逐附件完成证据/不适用</x:v>
      </x:c>
      <x:c r="U124" s="30" t="str">
        <x:v>2026-10-08（资料核对；并非所有项目重新官网复核）</x:v>
      </x:c>
      <x:c r="V124" s="30" t="str">
        <x:v>关注下一年度开放指南</x:v>
      </x:c>
      <x:c r="W124" s="30" t="str">
        <x:v>申请资格待核</x:v>
      </x:c>
      <x:c r="X124" s="30" t="str">
        <x:v>共有基线v0.8</x:v>
      </x:c>
      <x:c r="Y124" s="30" t="str">
        <x:v>v0.8:M126</x:v>
      </x:c>
      <x:c r="Z124" s="30" t="str">
        <x:v>原编号保留</x:v>
      </x:c>
    </x:row>
    <x:row r="125" ht="36" customHeight="1">
      <x:c r="A125" s="30" t="str">
        <x:v>M096</x:v>
      </x:c>
      <x:c r="B125" s="30" t="str">
        <x:v>开放基金/课题候选</x:v>
      </x:c>
      <x:c r="C125" s="30" t="str">
        <x:v>国家高性能医疗器械创新中心</x:v>
      </x:c>
      <x:c r="D125" s="30" t="str">
        <x:v>开放基金·超声成像新技术创新基金（第一批）</x:v>
      </x:c>
      <x:c r="E125" s="30" t="str">
        <x:v>2026-05-17</x:v>
      </x:c>
      <x:c r="F125" s="30" t="str">
        <x:v>已截止·历史储备</x:v>
      </x:c>
      <x:c r="G125" s="30" t="str">
        <x:v>中</x:v>
      </x:c>
      <x:c r="H125" s="30" t="str">
        <x:v>超声成像新技术；人工智能辅助超声质量评价；临床医学影像</x:v>
      </x:c>
      <x:c r="I125" s="30" t="str">
        <x:v>与面上项目科学内容匹配程度依方向摘要判断；正式选题须核指南</x:v>
      </x:c>
      <x:c r="J125" s="30" t="str">
        <x:v>未记录／待核</x:v>
      </x:c>
      <x:c r="K125" s="30" t="str">
        <x:v>重点面向各省市级医院及相关单位；偏临床研究</x:v>
      </x:c>
      <x:c r="L125" s="30" t="str">
        <x:v>固定成员合作要求待核</x:v>
      </x:c>
      <x:c r="M125" s="30" t="str">
        <x:v>是否外拨待核</x:v>
      </x:c>
      <x:c r="N125" s="30" t="str">
        <x:v>研究周期待核</x:v>
      </x:c>
      <x:c r="O125" s="30" t="str">
        <x:v>成果与署名规则待核</x:v>
      </x:c>
      <x:c r="P125" s="30" t="str">
        <x:v>申请书、盖章及提交方式待核</x:v>
      </x:c>
      <x:c r="Q125" s="30" t="str">
        <x:v>https://www.nmed.org.cn/Content/xwzx/gg/2026-04/147314_1.html</x:v>
      </x:c>
      <x:c r="R125" s="30" t="str"/>
      <x:c r="S125" s="30" t="str">
        <x:v>来源档案写明核过官网</x:v>
      </x:c>
      <x:c r="T125" s="30" t="str">
        <x:v>缺逐附件完成证据/不适用</x:v>
      </x:c>
      <x:c r="U125" s="30" t="str">
        <x:v>2026-10-08（资料核对；并非所有项目重新官网复核）</x:v>
      </x:c>
      <x:c r="V125" s="30" t="str">
        <x:v>关注下一年度开放指南</x:v>
      </x:c>
      <x:c r="W125" s="30" t="str">
        <x:v>重点面向各省市级医院及相关单位；偏临床研究</x:v>
      </x:c>
      <x:c r="X125" s="30" t="str">
        <x:v>共有基线v0.8</x:v>
      </x:c>
      <x:c r="Y125" s="30" t="str">
        <x:v>v0.8:M096</x:v>
      </x:c>
      <x:c r="Z125" s="30" t="str">
        <x:v>原编号保留</x:v>
      </x:c>
    </x:row>
    <x:row r="126" ht="36" customHeight="1">
      <x:c r="A126" s="30" t="str">
        <x:v>D-CAS-001</x:v>
      </x:c>
      <x:c r="B126" s="30" t="str">
        <x:v>开放基金/课题候选</x:v>
      </x:c>
      <x:c r="C126" s="30" t="str">
        <x:v>中国科学院精密测量科学与技术创新研究院</x:v>
      </x:c>
      <x:c r="D126" s="30" t="str">
        <x:v>磁共振波谱与成像全国重点实验室</x:v>
      </x:c>
      <x:c r="E126" s="30" t="str">
        <x:v>2026-05-25</x:v>
      </x:c>
      <x:c r="F126" s="30" t="str">
        <x:v>已截止·历史储备</x:v>
      </x:c>
      <x:c r="G126" s="30" t="str">
        <x:v>中</x:v>
      </x:c>
      <x:c r="H126" s="30" t="str">
        <x:v>医学成像方法、仪器与信号处理（MRI，非超声）</x:v>
      </x:c>
      <x:c r="I126" s="30" t="str">
        <x:v>超声研究方法关联，但实际医学成像模态/临床对象不同</x:v>
      </x:c>
      <x:c r="J126" s="30" t="str">
        <x:v>未记录／待核</x:v>
      </x:c>
      <x:c r="K126" s="30" t="str">
        <x:v>面向国内外科技工作者；具体资格详见指南附件</x:v>
      </x:c>
      <x:c r="L126" s="30" t="str">
        <x:v>合作要求待核</x:v>
      </x:c>
      <x:c r="M126" s="30" t="str">
        <x:v>是否外拨待核</x:v>
      </x:c>
      <x:c r="N126" s="30" t="str">
        <x:v>研究周期待核</x:v>
      </x:c>
      <x:c r="O126" s="30" t="str">
        <x:v>科研成果按规则署名实验室</x:v>
      </x:c>
      <x:c r="P126" s="30" t="str">
        <x:v>本年度截止；下一批次以官网公告为准</x:v>
      </x:c>
      <x:c r="Q126" s="30" t="str">
        <x:v>https://sklmrsi.apm.ac.cn/kfjl/kfkt/202604/t20260424_835102.html</x:v>
      </x:c>
      <x:c r="R126" s="30" t="str"/>
      <x:c r="S126" s="30" t="str">
        <x:v>并行对话历史官方公告证据；本轮未重开附件</x:v>
      </x:c>
      <x:c r="T126" s="30" t="str">
        <x:v>附件未完整复核</x:v>
      </x:c>
      <x:c r="U126" s="30" t="str">
        <x:v>2026-10-08（资料核对；并非所有项目重新官网复核）</x:v>
      </x:c>
      <x:c r="V126" s="30" t="str">
        <x:v>下一年度指南跟踪</x:v>
      </x:c>
      <x:c r="W126" s="30" t="str">
        <x:v>面向国内外科技工作者；具体资格详见指南附件</x:v>
      </x:c>
      <x:c r="X126" s="30" t="str">
        <x:v>并行增量D-CAS-001</x:v>
      </x:c>
      <x:c r="Y126" s="30" t="str">
        <x:v>D-CAS-001</x:v>
      </x:c>
      <x:c r="Z126" s="30" t="str">
        <x:v>v1.1未收录，新增独立增量（待最终批次去重）</x:v>
      </x:c>
    </x:row>
    <x:row r="127" ht="36" customHeight="1">
      <x:c r="A127" s="30" t="str">
        <x:v>M175</x:v>
      </x:c>
      <x:c r="B127" s="30" t="str">
        <x:v>开放基金/课题候选</x:v>
      </x:c>
      <x:c r="C127" s="30" t="str">
        <x:v>常州大学</x:v>
      </x:c>
      <x:c r="D127" s="30" t="str">
        <x:v>智能制造龙城实验室/工业母机工程研究院</x:v>
      </x:c>
      <x:c r="E127" s="30" t="str">
        <x:v>2026-05-27</x:v>
      </x:c>
      <x:c r="F127" s="30" t="str">
        <x:v>已截止·历史储备</x:v>
      </x:c>
      <x:c r="G127" s="30" t="str">
        <x:v>中</x:v>
      </x:c>
      <x:c r="H127" s="30" t="str">
        <x:v>刚柔耦合装备、机器人控制、制造装备智能规划</x:v>
      </x:c>
      <x:c r="I127" s="30" t="str">
        <x:v>与面上项目科学内容匹配程度依方向摘要判断；正式选题须核指南</x:v>
      </x:c>
      <x:c r="J127" s="30" t="str">
        <x:v>未记录／待核</x:v>
      </x:c>
      <x:c r="K127" s="30" t="str">
        <x:v>经费/申报资格/限制：申请要求以常州大学为第一申报单位；不宜算校外独立PI机会</x:v>
      </x:c>
      <x:c r="L127" s="30" t="str">
        <x:v>固定成员合作要求待核</x:v>
      </x:c>
      <x:c r="M127" s="30" t="str">
        <x:v>是否外拨待核</x:v>
      </x:c>
      <x:c r="N127" s="30" t="str">
        <x:v>研究周期待核</x:v>
      </x:c>
      <x:c r="O127" s="30" t="str">
        <x:v>成果与署名规则待核</x:v>
      </x:c>
      <x:c r="P127" s="30" t="str">
        <x:v>申请书、盖章及提交方式待核</x:v>
      </x:c>
      <x:c r="Q127" s="30" t="str">
        <x:v>https://iimt.cczu.edu.cn/2026/0519/c22023a415871/page.htm</x:v>
      </x:c>
      <x:c r="R127" s="30" t="str"/>
      <x:c r="S127" s="30" t="str">
        <x:v>仅继承来源信息/待核</x:v>
      </x:c>
      <x:c r="T127" s="30" t="str">
        <x:v>缺逐附件完成证据/不适用</x:v>
      </x:c>
      <x:c r="U127" s="30" t="str">
        <x:v>2026-10-08（资料核对；并非所有项目重新官网复核）</x:v>
      </x:c>
      <x:c r="V127" s="30" t="str">
        <x:v>关注下一年度开放指南</x:v>
      </x:c>
      <x:c r="W127" s="30" t="str">
        <x:v>经费/申报资格/限制：申请要求以常州大学为第一申报单位；不宜算校外独立PI机会</x:v>
      </x:c>
      <x:c r="X127" s="30" t="str">
        <x:v>共有基线v0.8</x:v>
      </x:c>
      <x:c r="Y127" s="30" t="str">
        <x:v>v0.8:M175</x:v>
      </x:c>
      <x:c r="Z127" s="30" t="str">
        <x:v>原编号保留</x:v>
      </x:c>
    </x:row>
    <x:row r="128" ht="36" customHeight="1">
      <x:c r="A128" s="30" t="str">
        <x:v>M071</x:v>
      </x:c>
      <x:c r="B128" s="30" t="str">
        <x:v>开放基金/课题候选</x:v>
      </x:c>
      <x:c r="C128" s="30" t="str">
        <x:v>中国石油大学（北京）克拉玛依校区</x:v>
      </x:c>
      <x:c r="D128" s="30" t="str">
        <x:v>新疆油气智能勘探与开发重点实验室</x:v>
      </x:c>
      <x:c r="E128" s="30" t="str">
        <x:v>2026-06-05</x:v>
      </x:c>
      <x:c r="F128" s="30" t="str">
        <x:v>已截止·历史储备</x:v>
      </x:c>
      <x:c r="G128" s="30" t="str">
        <x:v>中</x:v>
      </x:c>
      <x:c r="H128" s="30" t="str">
        <x:v>智能感知；三维建模；自主决策</x:v>
      </x:c>
      <x:c r="I128" s="30" t="str">
        <x:v>与面上项目科学内容匹配程度依方向摘要判断；正式选题须核指南</x:v>
      </x:c>
      <x:c r="J128" s="30" t="str">
        <x:v>未记录／待核</x:v>
      </x:c>
      <x:c r="K128" s="30" t="str">
        <x:v>为指南建议征集，非正式项目申报</x:v>
      </x:c>
      <x:c r="L128" s="30" t="str">
        <x:v>固定成员合作要求待核</x:v>
      </x:c>
      <x:c r="M128" s="30" t="str">
        <x:v>是否外拨待核</x:v>
      </x:c>
      <x:c r="N128" s="30" t="str">
        <x:v>研究周期待核</x:v>
      </x:c>
      <x:c r="O128" s="30" t="str">
        <x:v>成果与署名规则待核</x:v>
      </x:c>
      <x:c r="P128" s="30" t="str">
        <x:v>申请书、盖章及提交方式待核</x:v>
      </x:c>
      <x:c r="Q128" s="30" t="str">
        <x:v>https://www.cupk.edu.cn/olgas/c/2026-05-30/534544.shtml</x:v>
      </x:c>
      <x:c r="R128" s="30" t="str"/>
      <x:c r="S128" s="30" t="str">
        <x:v>来源档案写明核过官网</x:v>
      </x:c>
      <x:c r="T128" s="30" t="str">
        <x:v>缺逐附件完成证据/不适用</x:v>
      </x:c>
      <x:c r="U128" s="30" t="str">
        <x:v>2026-10-08（资料核对；并非所有项目重新官网复核）</x:v>
      </x:c>
      <x:c r="V128" s="30" t="str">
        <x:v>关注下一年度开放指南</x:v>
      </x:c>
      <x:c r="W128" s="30" t="str">
        <x:v>为指南建议征集，非正式项目申报</x:v>
      </x:c>
      <x:c r="X128" s="30" t="str">
        <x:v>共有基线v0.8</x:v>
      </x:c>
      <x:c r="Y128" s="30" t="str">
        <x:v>v0.8:M071</x:v>
      </x:c>
      <x:c r="Z128" s="30" t="str">
        <x:v>原编号保留</x:v>
      </x:c>
    </x:row>
    <x:row r="129" ht="36" customHeight="1">
      <x:c r="A129" s="30" t="str">
        <x:v>M136</x:v>
      </x:c>
      <x:c r="B129" s="30" t="str">
        <x:v>开放基金/课题候选</x:v>
      </x:c>
      <x:c r="C129" s="30" t="str">
        <x:v>内蒙古·内蒙古工业大学</x:v>
      </x:c>
      <x:c r="D129" s="30" t="str">
        <x:v>大规模储能技术教育部工程研究中心</x:v>
      </x:c>
      <x:c r="E129" s="30" t="str">
        <x:v>2026-06-10</x:v>
      </x:c>
      <x:c r="F129" s="30" t="str">
        <x:v>已截止·历史储备</x:v>
      </x:c>
      <x:c r="G129" s="30" t="str">
        <x:v>中</x:v>
      </x:c>
      <x:c r="H129" s="30" t="str">
        <x:v>方向/边界：储能控制、智能检测；研究对象与机器人超声不匹配</x:v>
      </x:c>
      <x:c r="I129" s="30" t="str">
        <x:v>与面上项目科学内容匹配程度依方向摘要判断；正式选题须核指南</x:v>
      </x:c>
      <x:c r="J129" s="30" t="str">
        <x:v>10万元</x:v>
      </x:c>
      <x:c r="K129" s="30" t="str">
        <x:v>资助/资格/证据：重要：本批开放子课题通知明确“面向全校”；校内限定，不应算外部可申请开放基金；金额≥10万元</x:v>
      </x:c>
      <x:c r="L129" s="30" t="str">
        <x:v>固定成员合作要求待核</x:v>
      </x:c>
      <x:c r="M129" s="30" t="str">
        <x:v>是否外拨待核</x:v>
      </x:c>
      <x:c r="N129" s="30" t="str">
        <x:v>研究周期待核</x:v>
      </x:c>
      <x:c r="O129" s="30" t="str">
        <x:v>成果与署名规则待核</x:v>
      </x:c>
      <x:c r="P129" s="30" t="str">
        <x:v>申请书、盖章及提交方式待核</x:v>
      </x:c>
      <x:c r="Q129" s="30" t="str">
        <x:v>https://lest.imut.edu.cn/info/1115/6280.htm</x:v>
      </x:c>
      <x:c r="R129" s="30" t="str"/>
      <x:c r="S129" s="30" t="str">
        <x:v>仅继承来源信息/待核</x:v>
      </x:c>
      <x:c r="T129" s="30" t="str">
        <x:v>缺逐附件完成证据/不适用</x:v>
      </x:c>
      <x:c r="U129" s="30" t="str">
        <x:v>2026-10-08（资料核对；并非所有项目重新官网复核）</x:v>
      </x:c>
      <x:c r="V129" s="30" t="str">
        <x:v>关注下一年度开放指南</x:v>
      </x:c>
      <x:c r="W129" s="30" t="str">
        <x:v>资助/资格/证据：重要：本批开放子课题通知明确“面向全校”；校内限定，不应算外部可申请开放基金；金额≥10万元</x:v>
      </x:c>
      <x:c r="X129" s="30" t="str">
        <x:v>共有基线v0.8</x:v>
      </x:c>
      <x:c r="Y129" s="30" t="str">
        <x:v>v0.8:M136</x:v>
      </x:c>
      <x:c r="Z129" s="30" t="str">
        <x:v>原编号保留</x:v>
      </x:c>
    </x:row>
    <x:row r="130" ht="36" customHeight="1">
      <x:c r="A130" s="30" t="str">
        <x:v>M038</x:v>
      </x:c>
      <x:c r="B130" s="30" t="str">
        <x:v>开放基金/课题候选</x:v>
      </x:c>
      <x:c r="C130" s="30" t="str">
        <x:v>北京工业大学</x:v>
      </x:c>
      <x:c r="D130" s="30" t="str">
        <x:v>智能感知与自主控制教育部工程研究中心</x:v>
      </x:c>
      <x:c r="E130" s="30" t="str">
        <x:v>2026-06-12</x:v>
      </x:c>
      <x:c r="F130" s="30" t="str">
        <x:v>已截止·历史储备</x:v>
      </x:c>
      <x:c r="G130" s="30" t="str">
        <x:v>中</x:v>
      </x:c>
      <x:c r="H130" s="30" t="str">
        <x:v>具身主动感知；多模态融合；智能决策</x:v>
      </x:c>
      <x:c r="I130" s="30" t="str">
        <x:v>与面上项目科学内容匹配程度依方向摘要判断；正式选题须核指南</x:v>
      </x:c>
      <x:c r="J130" s="30" t="str">
        <x:v>未记录／待核</x:v>
      </x:c>
      <x:c r="K130" s="30" t="str">
        <x:v>仅本校在职博士可申报，不符合面向外部人员要求</x:v>
      </x:c>
      <x:c r="L130" s="30" t="str">
        <x:v>固定成员合作要求待核</x:v>
      </x:c>
      <x:c r="M130" s="30" t="str">
        <x:v>是否外拨待核</x:v>
      </x:c>
      <x:c r="N130" s="30" t="str">
        <x:v>研究周期待核</x:v>
      </x:c>
      <x:c r="O130" s="30" t="str">
        <x:v>成果与署名规则待核</x:v>
      </x:c>
      <x:c r="P130" s="30" t="str">
        <x:v>申请书、盖章及提交方式待核</x:v>
      </x:c>
      <x:c r="Q130" s="30" t="str">
        <x:v>https://sist.bjut.edu.cn/info/1222/5293.htm</x:v>
      </x:c>
      <x:c r="R130" s="30" t="str">
        <x:v>https://www.bjut.edu.cn/</x:v>
      </x:c>
      <x:c r="S130" s="30" t="str">
        <x:v>来源档案写明核过官网</x:v>
      </x:c>
      <x:c r="T130" s="30" t="str">
        <x:v>缺逐附件完成证据/不适用</x:v>
      </x:c>
      <x:c r="U130" s="30" t="str">
        <x:v>2026-10-08（资料核对；并非所有项目重新官网复核）</x:v>
      </x:c>
      <x:c r="V130" s="30" t="str">
        <x:v>关注下一年度开放指南</x:v>
      </x:c>
      <x:c r="W130" s="30" t="str">
        <x:v>仅本校在职博士可申报，不符合面向外部人员要求</x:v>
      </x:c>
      <x:c r="X130" s="30" t="str">
        <x:v>共有基线v0.8</x:v>
      </x:c>
      <x:c r="Y130" s="30" t="str">
        <x:v>v0.8:M038</x:v>
      </x:c>
      <x:c r="Z130" s="30" t="str">
        <x:v>原编号保留</x:v>
      </x:c>
    </x:row>
    <x:row r="131" ht="36" customHeight="1">
      <x:c r="A131" s="30" t="str">
        <x:v>M083</x:v>
      </x:c>
      <x:c r="B131" s="30" t="str">
        <x:v>开放基金/课题候选</x:v>
      </x:c>
      <x:c r="C131" s="30" t="str">
        <x:v>中南民族大学</x:v>
      </x:c>
      <x:c r="D131" s="30" t="str">
        <x:v>医学信息分析及肿瘤诊疗湖北省重点实验室</x:v>
      </x:c>
      <x:c r="E131" s="30" t="str">
        <x:v>2026-06-15</x:v>
      </x:c>
      <x:c r="F131" s="30" t="str">
        <x:v>已截止·历史储备</x:v>
      </x:c>
      <x:c r="G131" s="30" t="str">
        <x:v>中</x:v>
      </x:c>
      <x:c r="H131" s="30" t="str">
        <x:v>医学影像处理；形变建模；多模态图像配准</x:v>
      </x:c>
      <x:c r="I131" s="30" t="str">
        <x:v>与面上项目科学内容匹配程度依方向摘要判断；正式选题须核指南</x:v>
      </x:c>
      <x:c r="J131" s="30" t="str">
        <x:v>不超过1万元/1年（历史记录）</x:v>
      </x:c>
      <x:c r="K131" s="30" t="str">
        <x:v>申请资格待核</x:v>
      </x:c>
      <x:c r="L131" s="30" t="str">
        <x:v>固定成员合作要求待核</x:v>
      </x:c>
      <x:c r="M131" s="30" t="str">
        <x:v>是否外拨待核</x:v>
      </x:c>
      <x:c r="N131" s="30" t="str">
        <x:v>研究周期待核</x:v>
      </x:c>
      <x:c r="O131" s="30" t="str">
        <x:v>成果与署名规则待核</x:v>
      </x:c>
      <x:c r="P131" s="30" t="str">
        <x:v>申请书、盖章及提交方式待核</x:v>
      </x:c>
      <x:c r="Q131" s="30" t="str">
        <x:v>https://www.scuec.edu.cn/yxxxsys/info/1011/1071.htm</x:v>
      </x:c>
      <x:c r="R131" s="30" t="str">
        <x:v>https://www.scuec.edu.cn/yxxxsys/info/1011/1071.htm</x:v>
      </x:c>
      <x:c r="S131" s="30" t="str">
        <x:v>仅继承来源信息/待核</x:v>
      </x:c>
      <x:c r="T131" s="30" t="str">
        <x:v>缺逐附件完成证据/不适用</x:v>
      </x:c>
      <x:c r="U131" s="30" t="str">
        <x:v>2026-10-08（资料核对；并非所有项目重新官网复核）</x:v>
      </x:c>
      <x:c r="V131" s="30" t="str">
        <x:v>关注下一年度开放指南</x:v>
      </x:c>
      <x:c r="W131" s="30" t="str">
        <x:v>申请资格待核</x:v>
      </x:c>
      <x:c r="X131" s="30" t="str">
        <x:v>共有基线v0.8</x:v>
      </x:c>
      <x:c r="Y131" s="30" t="str">
        <x:v>v0.8:M083</x:v>
      </x:c>
      <x:c r="Z131" s="30" t="str">
        <x:v>原编号保留</x:v>
      </x:c>
    </x:row>
    <x:row r="132" ht="36" customHeight="1">
      <x:c r="A132" s="30" t="str">
        <x:v>M109</x:v>
      </x:c>
      <x:c r="B132" s="30" t="str">
        <x:v>开放基金/课题候选</x:v>
      </x:c>
      <x:c r="C132" s="30" t="str">
        <x:v>长安大学</x:v>
      </x:c>
      <x:c r="D132" s="30" t="str">
        <x:v>道路施工技术与装备教育部重点实验室</x:v>
      </x:c>
      <x:c r="E132" s="30" t="str">
        <x:v>2026-06-15</x:v>
      </x:c>
      <x:c r="F132" s="30" t="str">
        <x:v>已截止·历史储备</x:v>
      </x:c>
      <x:c r="G132" s="30" t="str">
        <x:v>中</x:v>
      </x:c>
      <x:c r="H132" s="30" t="str">
        <x:v>智能施工机器人、规划与控制；道路施工场景</x:v>
      </x:c>
      <x:c r="I132" s="30" t="str">
        <x:v>与面上项目科学内容匹配程度依方向摘要判断；正式选题须核指南</x:v>
      </x:c>
      <x:c r="J132" s="30" t="str">
        <x:v>未记录／待核</x:v>
      </x:c>
      <x:c r="K132" s="30" t="str">
        <x:v>申请资格待核</x:v>
      </x:c>
      <x:c r="L132" s="30" t="str">
        <x:v>固定成员合作要求待核</x:v>
      </x:c>
      <x:c r="M132" s="30" t="str">
        <x:v>是否外拨待核</x:v>
      </x:c>
      <x:c r="N132" s="30" t="str">
        <x:v>研究周期待核</x:v>
      </x:c>
      <x:c r="O132" s="30" t="str">
        <x:v>成果与署名规则待核</x:v>
      </x:c>
      <x:c r="P132" s="30" t="str">
        <x:v>申请书、盖章及提交方式待核</x:v>
      </x:c>
      <x:c r="Q132" s="30" t="str">
        <x:v>https://webplus.chd.edu.cn/_s204/2026/0605/c8633a261025/page.psp</x:v>
      </x:c>
      <x:c r="R132" s="30" t="str"/>
      <x:c r="S132" s="30" t="str">
        <x:v>仅继承来源信息/待核</x:v>
      </x:c>
      <x:c r="T132" s="30" t="str">
        <x:v>缺逐附件完成证据/不适用</x:v>
      </x:c>
      <x:c r="U132" s="30" t="str">
        <x:v>2026-10-08（资料核对；并非所有项目重新官网复核）</x:v>
      </x:c>
      <x:c r="V132" s="30" t="str">
        <x:v>关注下一年度开放指南</x:v>
      </x:c>
      <x:c r="W132" s="30" t="str">
        <x:v>申请资格待核</x:v>
      </x:c>
      <x:c r="X132" s="30" t="str">
        <x:v>共有基线v0.8</x:v>
      </x:c>
      <x:c r="Y132" s="30" t="str">
        <x:v>v0.8:M109</x:v>
      </x:c>
      <x:c r="Z132" s="30" t="str">
        <x:v>原编号保留</x:v>
      </x:c>
    </x:row>
    <x:row r="133" ht="36" customHeight="1">
      <x:c r="A133" s="30" t="str">
        <x:v>M192</x:v>
      </x:c>
      <x:c r="B133" s="30" t="str">
        <x:v>开放基金/课题候选</x:v>
      </x:c>
      <x:c r="C133" s="30" t="str">
        <x:v>重庆大学</x:v>
      </x:c>
      <x:c r="D133" s="30" t="str">
        <x:v>山地城镇建设与新技术教育部重点实验室</x:v>
      </x:c>
      <x:c r="E133" s="30" t="str">
        <x:v>2026-06-22</x:v>
      </x:c>
      <x:c r="F133" s="30" t="str">
        <x:v>已截止·历史储备</x:v>
      </x:c>
      <x:c r="G133" s="30" t="str">
        <x:v>中</x:v>
      </x:c>
      <x:c r="H133" s="30" t="str">
        <x:v>工程结构与智能监测、智慧建造、山地城镇；与机器人超声研究对象差别大</x:v>
      </x:c>
      <x:c r="I133" s="30" t="str">
        <x:v>与面上项目科学内容匹配程度依方向摘要判断；正式选题须核指南</x:v>
      </x:c>
      <x:c r="J133" s="30" t="str">
        <x:v>未记录／待核</x:v>
      </x:c>
      <x:c r="K133" s="30" t="str">
        <x:v>官方首页列2027申请通知，但搜索没有取得2027具体附件和截止，绝不能把2025年发布的2026项目10月31日截止套用到2027</x:v>
      </x:c>
      <x:c r="L133" s="30" t="str">
        <x:v>固定成员合作要求待核</x:v>
      </x:c>
      <x:c r="M133" s="30" t="str">
        <x:v>是否外拨待核</x:v>
      </x:c>
      <x:c r="N133" s="30" t="str">
        <x:v>研究周期待核</x:v>
      </x:c>
      <x:c r="O133" s="30" t="str">
        <x:v>成果与署名规则待核</x:v>
      </x:c>
      <x:c r="P133" s="30" t="str">
        <x:v>申请书、盖章及提交方式待核</x:v>
      </x:c>
      <x:c r="Q133" s="30" t="str">
        <x:v>https://chongjian-lab.cqu.edu.cn/</x:v>
      </x:c>
      <x:c r="R133" s="30" t="str"/>
      <x:c r="S133" s="30" t="str">
        <x:v>仅继承来源信息/待核</x:v>
      </x:c>
      <x:c r="T133" s="30" t="str">
        <x:v>缺逐附件完成证据/不适用</x:v>
      </x:c>
      <x:c r="U133" s="30" t="str">
        <x:v>2026-10-08（资料核对；并非所有项目重新官网复核）</x:v>
      </x:c>
      <x:c r="V133" s="30" t="str">
        <x:v>关注下一年度开放指南</x:v>
      </x:c>
      <x:c r="W133" s="30" t="str">
        <x:v>官方首页列2027申请通知，但搜索没有取得2027具体附件和截止，绝不能把2025年发布的2026项目10月31日截止套用到2027</x:v>
      </x:c>
      <x:c r="X133" s="30" t="str">
        <x:v>筛选对话 v1.0</x:v>
      </x:c>
      <x:c r="Y133" s="30" t="str">
        <x:v>筛选对话v1.0:M187</x:v>
      </x:c>
      <x:c r="Z133" s="30" t="str">
        <x:v>重编号为M192，消除编号冲突</x:v>
      </x:c>
    </x:row>
    <x:row r="134" ht="36" customHeight="1">
      <x:c r="A134" s="30" t="str">
        <x:v>M130</x:v>
      </x:c>
      <x:c r="B134" s="30" t="str">
        <x:v>开放基金/课题候选</x:v>
      </x:c>
      <x:c r="C134" s="30" t="str">
        <x:v>湖北·华中师范大学</x:v>
      </x:c>
      <x:c r="D134" s="30" t="str">
        <x:v>数字教育湖北省重点实验室</x:v>
      </x:c>
      <x:c r="E134" s="30" t="str">
        <x:v>2026-06-25</x:v>
      </x:c>
      <x:c r="F134" s="30" t="str">
        <x:v>已截止·历史储备</x:v>
      </x:c>
      <x:c r="G134" s="30" t="str">
        <x:v>中</x:v>
      </x:c>
      <x:c r="H134" s="30" t="str">
        <x:v>方向/边界：教育机器人、教育智能体与多模态学习分析；场景受教育约束</x:v>
      </x:c>
      <x:c r="I134" s="30" t="str">
        <x:v>与面上项目科学内容匹配程度依方向摘要判断；正式选题须核指南</x:v>
      </x:c>
      <x:c r="J134" s="30" t="str">
        <x:v>4万元/一般2万元</x:v>
      </x:c>
      <x:c r="K134" s="30" t="str">
        <x:v>资助/资格/证据：重点4万元/一般2万元；校内外双PI；经费不外拨，结题论文第一单位署名实验室；官网指南</x:v>
      </x:c>
      <x:c r="L134" s="30" t="str">
        <x:v>固定成员合作要求待核</x:v>
      </x:c>
      <x:c r="M134" s="30" t="str">
        <x:v>是否外拨待核</x:v>
      </x:c>
      <x:c r="N134" s="30" t="str">
        <x:v>研究周期待核</x:v>
      </x:c>
      <x:c r="O134" s="30" t="str">
        <x:v>成果与署名规则待核</x:v>
      </x:c>
      <x:c r="P134" s="30" t="str">
        <x:v>申请书、盖章及提交方式待核</x:v>
      </x:c>
      <x:c r="Q134" s="30" t="str">
        <x:v>https://hrcei.ccnu.edu.cn/info/1203/3415.htm</x:v>
      </x:c>
      <x:c r="R134" s="30" t="str"/>
      <x:c r="S134" s="30" t="str">
        <x:v>仅继承来源信息/待核</x:v>
      </x:c>
      <x:c r="T134" s="30" t="str">
        <x:v>缺逐附件完成证据/不适用</x:v>
      </x:c>
      <x:c r="U134" s="30" t="str">
        <x:v>2026-10-08（资料核对；并非所有项目重新官网复核）</x:v>
      </x:c>
      <x:c r="V134" s="30" t="str">
        <x:v>关注下一年度开放指南</x:v>
      </x:c>
      <x:c r="W134" s="30" t="str">
        <x:v>资助/资格/证据：重点4万元/一般2万元；校内外双PI；经费不外拨，结题论文第一单位署名实验室；官网指南</x:v>
      </x:c>
      <x:c r="X134" s="30" t="str">
        <x:v>共有基线v0.8</x:v>
      </x:c>
      <x:c r="Y134" s="30" t="str">
        <x:v>v0.8:M130</x:v>
      </x:c>
      <x:c r="Z134" s="30" t="str">
        <x:v>原编号保留</x:v>
      </x:c>
    </x:row>
    <x:row r="135" ht="36" customHeight="1">
      <x:c r="A135" s="30" t="str">
        <x:v>M091</x:v>
      </x:c>
      <x:c r="B135" s="30" t="str">
        <x:v>开放基金/课题候选</x:v>
      </x:c>
      <x:c r="C135" s="30" t="str">
        <x:v>重庆建筑工程职业学院</x:v>
      </x:c>
      <x:c r="D135" s="30" t="str">
        <x:v>山地城市交通设施智能检测重庆市高校工程研究中心</x:v>
      </x:c>
      <x:c r="E135" s="30" t="str">
        <x:v>2026-06-30</x:v>
      </x:c>
      <x:c r="F135" s="30" t="str">
        <x:v>已截止·历史储备</x:v>
      </x:c>
      <x:c r="G135" s="30" t="str">
        <x:v>中</x:v>
      </x:c>
      <x:c r="H135" s="30" t="str">
        <x:v>巡检机器人、视觉感知、三维测量与智能优化；交通设施</x:v>
      </x:c>
      <x:c r="I135" s="30" t="str">
        <x:v>与面上项目科学内容匹配程度依方向摘要判断；正式选题须核指南</x:v>
      </x:c>
      <x:c r="J135" s="30" t="str">
        <x:v>未记录／待核</x:v>
      </x:c>
      <x:c r="K135" s="30" t="str">
        <x:v>申请资格待核</x:v>
      </x:c>
      <x:c r="L135" s="30" t="str">
        <x:v>固定成员合作要求待核</x:v>
      </x:c>
      <x:c r="M135" s="30" t="str">
        <x:v>是否外拨待核</x:v>
      </x:c>
      <x:c r="N135" s="30" t="str">
        <x:v>研究周期待核</x:v>
      </x:c>
      <x:c r="O135" s="30" t="str">
        <x:v>成果与署名规则待核</x:v>
      </x:c>
      <x:c r="P135" s="30" t="str">
        <x:v>申请书、盖章及提交方式待核</x:v>
      </x:c>
      <x:c r="Q135" s="30" t="str">
        <x:v>https://www.cqjzc.edu.cn/jtys/info/1065/3085.htm</x:v>
      </x:c>
      <x:c r="R135" s="30" t="str"/>
      <x:c r="S135" s="30" t="str">
        <x:v>仅继承来源信息/待核</x:v>
      </x:c>
      <x:c r="T135" s="30" t="str">
        <x:v>缺逐附件完成证据/不适用</x:v>
      </x:c>
      <x:c r="U135" s="30" t="str">
        <x:v>2026-10-08（资料核对；并非所有项目重新官网复核）</x:v>
      </x:c>
      <x:c r="V135" s="30" t="str">
        <x:v>关注下一年度开放指南</x:v>
      </x:c>
      <x:c r="W135" s="30" t="str">
        <x:v>申请资格待核</x:v>
      </x:c>
      <x:c r="X135" s="30" t="str">
        <x:v>共有基线v0.8</x:v>
      </x:c>
      <x:c r="Y135" s="30" t="str">
        <x:v>v0.8:M091</x:v>
      </x:c>
      <x:c r="Z135" s="30" t="str">
        <x:v>原编号保留</x:v>
      </x:c>
    </x:row>
    <x:row r="136" ht="36" customHeight="1">
      <x:c r="A136" s="30" t="str">
        <x:v>M093</x:v>
      </x:c>
      <x:c r="B136" s="30" t="str">
        <x:v>开放基金/课题候选</x:v>
      </x:c>
      <x:c r="C136" s="30" t="str">
        <x:v>西安交通大学第一附属医院</x:v>
      </x:c>
      <x:c r="D136" s="30" t="str">
        <x:v>陕西省磁医学重点实验室</x:v>
      </x:c>
      <x:c r="E136" s="30" t="str">
        <x:v>2026-06-30</x:v>
      </x:c>
      <x:c r="F136" s="30" t="str">
        <x:v>已截止·历史储备</x:v>
      </x:c>
      <x:c r="G136" s="30" t="str">
        <x:v>中</x:v>
      </x:c>
      <x:c r="H136" s="30" t="str">
        <x:v>磁医疗设备；磁控微型机器人；医学装备</x:v>
      </x:c>
      <x:c r="I136" s="30" t="str">
        <x:v>与面上项目科学内容匹配程度依方向摘要判断；正式选题须核指南</x:v>
      </x:c>
      <x:c r="J136" s="30" t="str">
        <x:v>3-5万元</x:v>
      </x:c>
      <x:c r="K136" s="30" t="str">
        <x:v>外单位研究人员；博士或副高级以上，或硕士+中级；资助3-5万元，2年；偏磁医疗设备与临床应用</x:v>
      </x:c>
      <x:c r="L136" s="30" t="str">
        <x:v>固定成员合作要求待核</x:v>
      </x:c>
      <x:c r="M136" s="30" t="str">
        <x:v>是否外拨待核</x:v>
      </x:c>
      <x:c r="N136" s="30" t="str">
        <x:v>研究周期待核</x:v>
      </x:c>
      <x:c r="O136" s="30" t="str">
        <x:v>成果与署名规则待核</x:v>
      </x:c>
      <x:c r="P136" s="30" t="str">
        <x:v>申请书、盖章及提交方式待核</x:v>
      </x:c>
      <x:c r="Q136" s="30" t="str">
        <x:v>https://psrm.xjtu.edu.cn/info/1028/2721.htm</x:v>
      </x:c>
      <x:c r="R136" s="30" t="str"/>
      <x:c r="S136" s="30" t="str">
        <x:v>来源档案写明核过官网</x:v>
      </x:c>
      <x:c r="T136" s="30" t="str">
        <x:v>缺逐附件完成证据/不适用</x:v>
      </x:c>
      <x:c r="U136" s="30" t="str">
        <x:v>2026-10-08（资料核对；并非所有项目重新官网复核）</x:v>
      </x:c>
      <x:c r="V136" s="30" t="str">
        <x:v>关注下一年度开放指南</x:v>
      </x:c>
      <x:c r="W136" s="30" t="str">
        <x:v>外单位研究人员；博士或副高级以上，或硕士+中级；资助3-5万元，2年；偏磁医疗设备与临床应用</x:v>
      </x:c>
      <x:c r="X136" s="30" t="str">
        <x:v>共有基线v0.8</x:v>
      </x:c>
      <x:c r="Y136" s="30" t="str">
        <x:v>v0.8:M093</x:v>
      </x:c>
      <x:c r="Z136" s="30" t="str">
        <x:v>原编号保留</x:v>
      </x:c>
    </x:row>
    <x:row r="137" ht="36" customHeight="1">
      <x:c r="A137" s="30" t="str">
        <x:v>M099</x:v>
      </x:c>
      <x:c r="B137" s="30" t="str">
        <x:v>开放基金/课题候选</x:v>
      </x:c>
      <x:c r="C137" s="30" t="str">
        <x:v>厦门大学</x:v>
      </x:c>
      <x:c r="D137" s="30" t="str">
        <x:v>信息学院超智医疗创新研究中心</x:v>
      </x:c>
      <x:c r="E137" s="30" t="str">
        <x:v>2026-06-30</x:v>
      </x:c>
      <x:c r="F137" s="30" t="str">
        <x:v>已截止·历史储备</x:v>
      </x:c>
      <x:c r="G137" s="30" t="str">
        <x:v>中</x:v>
      </x:c>
      <x:c r="H137" s="30" t="str">
        <x:v>医疗多模态数据；医学人工智能；智能诊疗</x:v>
      </x:c>
      <x:c r="I137" s="30" t="str">
        <x:v>与面上项目科学内容匹配程度依方向摘要判断；正式选题须核指南</x:v>
      </x:c>
      <x:c r="J137" s="30" t="str">
        <x:v>8-18万元</x:v>
      </x:c>
      <x:c r="K137" s="30" t="str">
        <x:v>资助8-18万元；近2026-09已发布立项结果</x:v>
      </x:c>
      <x:c r="L137" s="30" t="str">
        <x:v>固定成员合作要求待核</x:v>
      </x:c>
      <x:c r="M137" s="30" t="str">
        <x:v>是否外拨待核</x:v>
      </x:c>
      <x:c r="N137" s="30" t="str">
        <x:v>研究周期待核</x:v>
      </x:c>
      <x:c r="O137" s="30" t="str">
        <x:v>成果与署名规则待核</x:v>
      </x:c>
      <x:c r="P137" s="30" t="str">
        <x:v>申请书、盖章及提交方式待核</x:v>
      </x:c>
      <x:c r="Q137" s="30" t="str">
        <x:v>https://inst.xmu.edu.cn/smrc/zh_CN/article/1158484/content/2008.htm</x:v>
      </x:c>
      <x:c r="R137" s="30" t="str"/>
      <x:c r="S137" s="30" t="str">
        <x:v>来源档案写明核过官网</x:v>
      </x:c>
      <x:c r="T137" s="30" t="str">
        <x:v>缺逐附件完成证据/不适用</x:v>
      </x:c>
      <x:c r="U137" s="30" t="str">
        <x:v>2026-10-08（资料核对；并非所有项目重新官网复核）</x:v>
      </x:c>
      <x:c r="V137" s="30" t="str">
        <x:v>关注下一年度开放指南</x:v>
      </x:c>
      <x:c r="W137" s="30" t="str">
        <x:v>资助8-18万元；近2026-09已发布立项结果</x:v>
      </x:c>
      <x:c r="X137" s="30" t="str">
        <x:v>共有基线v0.8</x:v>
      </x:c>
      <x:c r="Y137" s="30" t="str">
        <x:v>v0.8:M099</x:v>
      </x:c>
      <x:c r="Z137" s="30" t="str">
        <x:v>原编号保留</x:v>
      </x:c>
    </x:row>
    <x:row r="138" ht="36" customHeight="1">
      <x:c r="A138" s="30" t="str">
        <x:v>M169</x:v>
      </x:c>
      <x:c r="B138" s="30" t="str">
        <x:v>开放基金/课题候选</x:v>
      </x:c>
      <x:c r="C138" s="30" t="str">
        <x:v>南京航空航天大学</x:v>
      </x:c>
      <x:c r="D138" s="30" t="str">
        <x:v>空间智能感知与大模型应用联合实验室</x:v>
      </x:c>
      <x:c r="E138" s="30" t="str">
        <x:v>2026-06-30</x:v>
      </x:c>
      <x:c r="F138" s="30" t="str">
        <x:v>已截止·历史储备</x:v>
      </x:c>
      <x:c r="G138" s="30" t="str">
        <x:v>中</x:v>
      </x:c>
      <x:c r="H138" s="30" t="str">
        <x:v>空间遥感图像分析、智能感知、深度学习；卫星应用场景限制</x:v>
      </x:c>
      <x:c r="I138" s="30" t="str">
        <x:v>与面上项目科学内容匹配程度依方向摘要判断；正式选题须核指南</x:v>
      </x:c>
      <x:c r="J138" s="30" t="str">
        <x:v>20万元、一般项目约10万元</x:v>
      </x:c>
      <x:c r="K138" s="30" t="str">
        <x:v>经费/申报资格/限制：重点项目约20万元、一般项目约10万元；需对齐空间场景</x:v>
      </x:c>
      <x:c r="L138" s="30" t="str">
        <x:v>固定成员合作要求待核</x:v>
      </x:c>
      <x:c r="M138" s="30" t="str">
        <x:v>是否外拨待核</x:v>
      </x:c>
      <x:c r="N138" s="30" t="str">
        <x:v>研究周期待核</x:v>
      </x:c>
      <x:c r="O138" s="30" t="str">
        <x:v>成果与署名规则待核</x:v>
      </x:c>
      <x:c r="P138" s="30" t="str">
        <x:v>申请书、盖章及提交方式待核</x:v>
      </x:c>
      <x:c r="Q138" s="30" t="str">
        <x:v>https://kyy.nuaa.edu.cn/2026/0604/c5817a400921/page.htm</x:v>
      </x:c>
      <x:c r="R138" s="30" t="str"/>
      <x:c r="S138" s="30" t="str">
        <x:v>仅继承来源信息/待核</x:v>
      </x:c>
      <x:c r="T138" s="30" t="str">
        <x:v>缺逐附件完成证据/不适用</x:v>
      </x:c>
      <x:c r="U138" s="30" t="str">
        <x:v>2026-10-08（资料核对；并非所有项目重新官网复核）</x:v>
      </x:c>
      <x:c r="V138" s="30" t="str">
        <x:v>关注下一年度开放指南</x:v>
      </x:c>
      <x:c r="W138" s="30" t="str">
        <x:v>经费/申报资格/限制：重点项目约20万元、一般项目约10万元；需对齐空间场景</x:v>
      </x:c>
      <x:c r="X138" s="30" t="str">
        <x:v>共有基线v0.8</x:v>
      </x:c>
      <x:c r="Y138" s="30" t="str">
        <x:v>v0.8:M169</x:v>
      </x:c>
      <x:c r="Z138" s="30" t="str">
        <x:v>原编号保留</x:v>
      </x:c>
    </x:row>
    <x:row r="139" ht="36" customHeight="1">
      <x:c r="A139" s="30" t="str">
        <x:v>M074</x:v>
      </x:c>
      <x:c r="B139" s="30" t="str">
        <x:v>开放基金/课题候选</x:v>
      </x:c>
      <x:c r="C139" s="30" t="str">
        <x:v>中国科学院苏州生物医学工程技术研究所</x:v>
      </x:c>
      <x:c r="D139" s="30" t="str">
        <x:v>江苏省先进诊疗技术与装备重点实验室</x:v>
      </x:c>
      <x:c r="E139" s="30" t="str">
        <x:v>2026-07-02</x:v>
      </x:c>
      <x:c r="F139" s="30" t="str">
        <x:v>已截止·历史储备</x:v>
      </x:c>
      <x:c r="G139" s="30" t="str">
        <x:v>中</x:v>
      </x:c>
      <x:c r="H139" s="30" t="str">
        <x:v>医学成像；诊疗装备；医工交叉</x:v>
      </x:c>
      <x:c r="I139" s="30" t="str">
        <x:v>与面上项目科学内容匹配程度依方向摘要判断；正式选题须核指南</x:v>
      </x:c>
      <x:c r="J139" s="30" t="str">
        <x:v>未记录／待核</x:v>
      </x:c>
      <x:c r="K139" s="30" t="str">
        <x:v>当前来源为立项通知，不是申报指南</x:v>
      </x:c>
      <x:c r="L139" s="30" t="str">
        <x:v>固定成员合作要求待核</x:v>
      </x:c>
      <x:c r="M139" s="30" t="str">
        <x:v>是否外拨待核</x:v>
      </x:c>
      <x:c r="N139" s="30" t="str">
        <x:v>研究周期待核</x:v>
      </x:c>
      <x:c r="O139" s="30" t="str">
        <x:v>成果与署名规则待核</x:v>
      </x:c>
      <x:c r="P139" s="30" t="str">
        <x:v>申请书、盖章及提交方式待核</x:v>
      </x:c>
      <x:c r="Q139" s="30" t="str">
        <x:v>https://sibet.cas.cn/tzgg2020/202607/t20260703_8237653.html</x:v>
      </x:c>
      <x:c r="R139" s="30" t="str">
        <x:v>https://sibet.cas.cn/tzgg2020/202607/t20260703_8237653.html</x:v>
      </x:c>
      <x:c r="S139" s="30" t="str">
        <x:v>仅继承来源信息/待核</x:v>
      </x:c>
      <x:c r="T139" s="30" t="str">
        <x:v>缺逐附件完成证据/不适用</x:v>
      </x:c>
      <x:c r="U139" s="30" t="str">
        <x:v>2026-10-08（资料核对；并非所有项目重新官网复核）</x:v>
      </x:c>
      <x:c r="V139" s="30" t="str">
        <x:v>关注下一年度开放指南</x:v>
      </x:c>
      <x:c r="W139" s="30" t="str">
        <x:v>当前来源为立项通知，不是申报指南</x:v>
      </x:c>
      <x:c r="X139" s="30" t="str">
        <x:v>共有基线v0.8</x:v>
      </x:c>
      <x:c r="Y139" s="30" t="str">
        <x:v>v0.8:M074</x:v>
      </x:c>
      <x:c r="Z139" s="30" t="str">
        <x:v>原编号保留</x:v>
      </x:c>
    </x:row>
    <x:row r="140" ht="36" customHeight="1">
      <x:c r="A140" s="30" t="str">
        <x:v>M058</x:v>
      </x:c>
      <x:c r="B140" s="30" t="str">
        <x:v>开放基金/课题候选</x:v>
      </x:c>
      <x:c r="C140" s="30" t="str">
        <x:v>北京市测绘设计研究院</x:v>
      </x:c>
      <x:c r="D140" s="30" t="str">
        <x:v>城市空间智能感知与数字治理北京市重点实验室</x:v>
      </x:c>
      <x:c r="E140" s="30" t="str">
        <x:v>2026-07-10</x:v>
      </x:c>
      <x:c r="F140" s="30" t="str">
        <x:v>已截止·历史储备</x:v>
      </x:c>
      <x:c r="G140" s="30" t="str">
        <x:v>中</x:v>
      </x:c>
      <x:c r="H140" s="30" t="str">
        <x:v>三维空间感知；点云处理；融合建模</x:v>
      </x:c>
      <x:c r="I140" s="30" t="str">
        <x:v>与面上项目科学内容匹配程度依方向摘要判断；正式选题须核指南</x:v>
      </x:c>
      <x:c r="J140" s="30" t="str">
        <x:v>未记录／待核</x:v>
      </x:c>
      <x:c r="K140" s="30" t="str">
        <x:v>城市应用场景</x:v>
      </x:c>
      <x:c r="L140" s="30" t="str">
        <x:v>固定成员合作要求待核</x:v>
      </x:c>
      <x:c r="M140" s="30" t="str">
        <x:v>是否外拨待核</x:v>
      </x:c>
      <x:c r="N140" s="30" t="str">
        <x:v>研究周期待核</x:v>
      </x:c>
      <x:c r="O140" s="30" t="str">
        <x:v>成果与署名规则待核</x:v>
      </x:c>
      <x:c r="P140" s="30" t="str">
        <x:v>申请书、盖章及提交方式待核</x:v>
      </x:c>
      <x:c r="Q140" s="30" t="str">
        <x:v>https://www.bism.cn/gzdt/tzgg/202607/t20260701_6664.html</x:v>
      </x:c>
      <x:c r="R140" s="30" t="str"/>
      <x:c r="S140" s="30" t="str">
        <x:v>仅继承来源信息/待核</x:v>
      </x:c>
      <x:c r="T140" s="30" t="str">
        <x:v>缺逐附件完成证据/不适用</x:v>
      </x:c>
      <x:c r="U140" s="30" t="str">
        <x:v>2026-10-08（资料核对；并非所有项目重新官网复核）</x:v>
      </x:c>
      <x:c r="V140" s="30" t="str">
        <x:v>关注下一年度开放指南</x:v>
      </x:c>
      <x:c r="W140" s="30" t="str">
        <x:v>城市应用场景</x:v>
      </x:c>
      <x:c r="X140" s="30" t="str">
        <x:v>共有基线v0.8</x:v>
      </x:c>
      <x:c r="Y140" s="30" t="str">
        <x:v>v0.8:M058</x:v>
      </x:c>
      <x:c r="Z140" s="30" t="str">
        <x:v>原编号保留</x:v>
      </x:c>
    </x:row>
    <x:row r="141" ht="36" customHeight="1">
      <x:c r="A141" s="30" t="str">
        <x:v>M004</x:v>
      </x:c>
      <x:c r="B141" s="30" t="str">
        <x:v>开放基金/课题候选</x:v>
      </x:c>
      <x:c r="C141" s="30" t="str">
        <x:v>中国科学院上海微系统与信息技术研究所</x:v>
      </x:c>
      <x:c r="D141" s="30" t="str">
        <x:v>传感器技术全国重点实验室</x:v>
      </x:c>
      <x:c r="E141" s="30" t="str">
        <x:v>2026-07-19</x:v>
      </x:c>
      <x:c r="F141" s="30" t="str">
        <x:v>已截止·历史储备</x:v>
      </x:c>
      <x:c r="G141" s="30" t="str">
        <x:v>中</x:v>
      </x:c>
      <x:c r="H141" s="30" t="str">
        <x:v>柔性触觉；机器人多模态感知；医疗微创传感</x:v>
      </x:c>
      <x:c r="I141" s="30" t="str">
        <x:v>与面上项目科学内容匹配程度依方向摘要判断；正式选题须核指南</x:v>
      </x:c>
      <x:c r="J141" s="30" t="str">
        <x:v>未记录／待核</x:v>
      </x:c>
      <x:c r="K141" s="30" t="str">
        <x:v>官网2026年立项结果证明实际资助手术机器人触觉研究</x:v>
      </x:c>
      <x:c r="L141" s="30" t="str">
        <x:v>固定成员合作要求待核</x:v>
      </x:c>
      <x:c r="M141" s="30" t="str">
        <x:v>是否外拨待核</x:v>
      </x:c>
      <x:c r="N141" s="30" t="str">
        <x:v>研究周期待核</x:v>
      </x:c>
      <x:c r="O141" s="30" t="str">
        <x:v>成果与署名规则待核</x:v>
      </x:c>
      <x:c r="P141" s="30" t="str">
        <x:v>申请书、盖章及提交方式待核</x:v>
      </x:c>
      <x:c r="Q141" s="30" t="str">
        <x:v>https://www.sim.cas.cn/xwzx2016/tzgg2016/202606/t20260624_8232527.html</x:v>
      </x:c>
      <x:c r="R141" s="30" t="str">
        <x:v>https://www.sim.cas.cn/xwzx2016/tzgg2016/202606/t20260624_8232527.html</x:v>
      </x:c>
      <x:c r="S141" s="30" t="str">
        <x:v>来源档案写明核过官网</x:v>
      </x:c>
      <x:c r="T141" s="30" t="str">
        <x:v>缺逐附件完成证据/不适用</x:v>
      </x:c>
      <x:c r="U141" s="30" t="str">
        <x:v>2026-10-08（资料核对；并非所有项目重新官网复核）</x:v>
      </x:c>
      <x:c r="V141" s="30" t="str">
        <x:v>关注下一年度开放指南</x:v>
      </x:c>
      <x:c r="W141" s="30" t="str">
        <x:v>官网2026年立项结果证明实际资助手术机器人触觉研究</x:v>
      </x:c>
      <x:c r="X141" s="30" t="str">
        <x:v>共有基线v0.8</x:v>
      </x:c>
      <x:c r="Y141" s="30" t="str">
        <x:v>v0.8:M004</x:v>
      </x:c>
      <x:c r="Z141" s="30" t="str">
        <x:v>原编号保留</x:v>
      </x:c>
    </x:row>
    <x:row r="142" ht="36" customHeight="1">
      <x:c r="A142" s="30" t="str">
        <x:v>M012</x:v>
      </x:c>
      <x:c r="B142" s="30" t="str">
        <x:v>开放基金/课题候选</x:v>
      </x:c>
      <x:c r="C142" s="30" t="str">
        <x:v>中国铁道科学研究院集团有限公司/中国中车</x:v>
      </x:c>
      <x:c r="D142" s="30" t="str">
        <x:v>动车组和机车牵引与控制国家重点实验室</x:v>
      </x:c>
      <x:c r="E142" s="30" t="str">
        <x:v>2026-07-28</x:v>
      </x:c>
      <x:c r="F142" s="30" t="str">
        <x:v>已截止·历史储备</x:v>
      </x:c>
      <x:c r="G142" s="30" t="str">
        <x:v>中</x:v>
      </x:c>
      <x:c r="H142" s="30" t="str">
        <x:v>复杂工况机电耦合建模；智能控制；系统扰动与稳定性</x:v>
      </x:c>
      <x:c r="I142" s="30" t="str">
        <x:v>与面上项目科学内容匹配程度依方向摘要判断；正式选题须核指南</x:v>
      </x:c>
      <x:c r="J142" s="30" t="str">
        <x:v>未记录／待核</x:v>
      </x:c>
      <x:c r="K142" s="30" t="str">
        <x:v>课题清单为高速列车牵引与控制，场景差异较大</x:v>
      </x:c>
      <x:c r="L142" s="30" t="str">
        <x:v>固定成员合作要求待核</x:v>
      </x:c>
      <x:c r="M142" s="30" t="str">
        <x:v>是否外拨待核</x:v>
      </x:c>
      <x:c r="N142" s="30" t="str">
        <x:v>研究周期待核</x:v>
      </x:c>
      <x:c r="O142" s="30" t="str">
        <x:v>成果与署名规则待核</x:v>
      </x:c>
      <x:c r="P142" s="30" t="str">
        <x:v>申请书、盖章及提交方式待核</x:v>
      </x:c>
      <x:c r="Q142" s="30" t="str">
        <x:v>https://www.rails.cn/html/news/11/2026/20260722_69048.html</x:v>
      </x:c>
      <x:c r="R142" s="30" t="str"/>
      <x:c r="S142" s="30" t="str">
        <x:v>来源档案写明核过官网</x:v>
      </x:c>
      <x:c r="T142" s="30" t="str">
        <x:v>缺逐附件完成证据/不适用</x:v>
      </x:c>
      <x:c r="U142" s="30" t="str">
        <x:v>2026-10-08（资料核对；并非所有项目重新官网复核）</x:v>
      </x:c>
      <x:c r="V142" s="30" t="str">
        <x:v>关注下一年度开放指南</x:v>
      </x:c>
      <x:c r="W142" s="30" t="str">
        <x:v>课题清单为高速列车牵引与控制，场景差异较大</x:v>
      </x:c>
      <x:c r="X142" s="30" t="str">
        <x:v>共有基线v0.8</x:v>
      </x:c>
      <x:c r="Y142" s="30" t="str">
        <x:v>v0.8:M012</x:v>
      </x:c>
      <x:c r="Z142" s="30" t="str">
        <x:v>原编号保留</x:v>
      </x:c>
    </x:row>
    <x:row r="143" ht="36" customHeight="1">
      <x:c r="A143" s="30" t="str">
        <x:v>M063</x:v>
      </x:c>
      <x:c r="B143" s="30" t="str">
        <x:v>开放基金/课题候选</x:v>
      </x:c>
      <x:c r="C143" s="30" t="str">
        <x:v>安徽师范大学</x:v>
      </x:c>
      <x:c r="D143" s="30" t="str">
        <x:v>安徽省智能机器人信息融合与控制工程研究中心</x:v>
      </x:c>
      <x:c r="E143" s="30" t="str">
        <x:v>2026-08-14</x:v>
      </x:c>
      <x:c r="F143" s="30" t="str">
        <x:v>已截止·历史储备</x:v>
      </x:c>
      <x:c r="G143" s="30" t="str">
        <x:v>中</x:v>
      </x:c>
      <x:c r="H143" s="30" t="str">
        <x:v>机器人控制；机器人信息感知；多源融合</x:v>
      </x:c>
      <x:c r="I143" s="30" t="str">
        <x:v>与面上项目科学内容匹配程度依方向摘要判断；正式选题须核指南</x:v>
      </x:c>
      <x:c r="J143" s="30" t="str">
        <x:v>2万元/项</x:v>
      </x:c>
      <x:c r="K143" s="30" t="str">
        <x:v>约2万元/项；研究期限2年</x:v>
      </x:c>
      <x:c r="L143" s="30" t="str">
        <x:v>固定成员合作要求待核</x:v>
      </x:c>
      <x:c r="M143" s="30" t="str">
        <x:v>是否外拨待核</x:v>
      </x:c>
      <x:c r="N143" s="30" t="str">
        <x:v>研究周期待核</x:v>
      </x:c>
      <x:c r="O143" s="30" t="str">
        <x:v>成果与署名规则待核</x:v>
      </x:c>
      <x:c r="P143" s="30" t="str">
        <x:v>申请书、盖章及提交方式待核</x:v>
      </x:c>
      <x:c r="Q143" s="30" t="str">
        <x:v>https://iiam.ahnu.edu.cn/info/1281/4171.htm</x:v>
      </x:c>
      <x:c r="R143" s="30" t="str">
        <x:v>https://iiam.ahnu.edu.cn/info/1281/4171.htm</x:v>
      </x:c>
      <x:c r="S143" s="30" t="str">
        <x:v>来源档案写明核过官网</x:v>
      </x:c>
      <x:c r="T143" s="30" t="str">
        <x:v>缺逐附件完成证据/不适用</x:v>
      </x:c>
      <x:c r="U143" s="30" t="str">
        <x:v>2026-10-08（资料核对；并非所有项目重新官网复核）</x:v>
      </x:c>
      <x:c r="V143" s="30" t="str">
        <x:v>关注下一年度开放指南</x:v>
      </x:c>
      <x:c r="W143" s="30" t="str">
        <x:v>约2万元/项；研究期限2年</x:v>
      </x:c>
      <x:c r="X143" s="30" t="str">
        <x:v>共有基线v0.8</x:v>
      </x:c>
      <x:c r="Y143" s="30" t="str">
        <x:v>v0.8:M063；筛选对话v1.0:M190（同批次别名）</x:v>
      </x:c>
      <x:c r="Z143" s="30" t="str">
        <x:v>原编号保留；M190另一分支同批次并入</x:v>
      </x:c>
    </x:row>
    <x:row r="144" ht="36" customHeight="1">
      <x:c r="A144" s="30" t="str">
        <x:v>M095</x:v>
      </x:c>
      <x:c r="B144" s="30" t="str">
        <x:v>开放基金/课题候选</x:v>
      </x:c>
      <x:c r="C144" s="30" t="str">
        <x:v>国家高性能医疗器械创新中心</x:v>
      </x:c>
      <x:c r="D144" s="30" t="str">
        <x:v>开放基金·智影联创平台（第二批）</x:v>
      </x:c>
      <x:c r="E144" s="30" t="str">
        <x:v>2026-08-14</x:v>
      </x:c>
      <x:c r="F144" s="30" t="str">
        <x:v>已截止·历史储备</x:v>
      </x:c>
      <x:c r="G144" s="30" t="str">
        <x:v>中</x:v>
      </x:c>
      <x:c r="H144" s="30" t="str">
        <x:v>智慧医学影像；MR/CT/MI人工智能；深度学习成像质量</x:v>
      </x:c>
      <x:c r="I144" s="30" t="str">
        <x:v>与面上项目科学内容匹配程度依方向摘要判断；正式选题须核指南</x:v>
      </x:c>
      <x:c r="J144" s="30" t="str">
        <x:v>未记录／待核</x:v>
      </x:c>
      <x:c r="K144" s="30" t="str">
        <x:v>截至18:00；重点面向省市县级医院及相关单位，非超声机器人专项</x:v>
      </x:c>
      <x:c r="L144" s="30" t="str">
        <x:v>固定成员合作要求待核</x:v>
      </x:c>
      <x:c r="M144" s="30" t="str">
        <x:v>是否外拨待核</x:v>
      </x:c>
      <x:c r="N144" s="30" t="str">
        <x:v>研究周期待核</x:v>
      </x:c>
      <x:c r="O144" s="30" t="str">
        <x:v>成果与署名规则待核</x:v>
      </x:c>
      <x:c r="P144" s="30" t="str">
        <x:v>申请书、盖章及提交方式待核</x:v>
      </x:c>
      <x:c r="Q144" s="30" t="str">
        <x:v>https://www.nmed.org.cn/Content/xwzx/gg/2026-07/147362_1.html</x:v>
      </x:c>
      <x:c r="R144" s="30" t="str">
        <x:v>https://www.nmed.org.cn/Content/kjgg/kfjj/2026-07/147362.html</x:v>
      </x:c>
      <x:c r="S144" s="30" t="str">
        <x:v>来源档案写明核过官网</x:v>
      </x:c>
      <x:c r="T144" s="30" t="str">
        <x:v>缺逐附件完成证据/不适用</x:v>
      </x:c>
      <x:c r="U144" s="30" t="str">
        <x:v>2026-10-08（资料核对；并非所有项目重新官网复核）</x:v>
      </x:c>
      <x:c r="V144" s="30" t="str">
        <x:v>关注下一年度开放指南</x:v>
      </x:c>
      <x:c r="W144" s="30" t="str">
        <x:v>截至18:00；重点面向省市县级医院及相关单位，非超声机器人专项</x:v>
      </x:c>
      <x:c r="X144" s="30" t="str">
        <x:v>共有基线v0.8</x:v>
      </x:c>
      <x:c r="Y144" s="30" t="str">
        <x:v>v0.8:M095</x:v>
      </x:c>
      <x:c r="Z144" s="30" t="str">
        <x:v>原编号保留</x:v>
      </x:c>
    </x:row>
    <x:row r="145" ht="36" customHeight="1">
      <x:c r="A145" s="30" t="str">
        <x:v>M088</x:v>
      </x:c>
      <x:c r="B145" s="30" t="str">
        <x:v>开放基金/课题候选</x:v>
      </x:c>
      <x:c r="C145" s="30" t="str">
        <x:v>闽江大学</x:v>
      </x:c>
      <x:c r="D145" s="30" t="str">
        <x:v>福建省信息处理与智能控制重点实验室</x:v>
      </x:c>
      <x:c r="E145" s="30" t="str">
        <x:v>2026-08-15</x:v>
      </x:c>
      <x:c r="F145" s="30" t="str">
        <x:v>已截止·历史储备</x:v>
      </x:c>
      <x:c r="G145" s="30" t="str">
        <x:v>中</x:v>
      </x:c>
      <x:c r="H145" s="30" t="str">
        <x:v>智能图像处理；信息处理；智能控制</x:v>
      </x:c>
      <x:c r="I145" s="30" t="str">
        <x:v>与面上项目科学内容匹配程度依方向摘要判断；正式选题须核指南</x:v>
      </x:c>
      <x:c r="J145" s="30" t="str">
        <x:v>1万元</x:v>
      </x:c>
      <x:c r="K145" s="30" t="str">
        <x:v>每项资助1万元</x:v>
      </x:c>
      <x:c r="L145" s="30" t="str">
        <x:v>固定成员合作要求待核</x:v>
      </x:c>
      <x:c r="M145" s="30" t="str">
        <x:v>是否外拨待核</x:v>
      </x:c>
      <x:c r="N145" s="30" t="str">
        <x:v>研究周期待核</x:v>
      </x:c>
      <x:c r="O145" s="30" t="str">
        <x:v>成果与署名规则待核</x:v>
      </x:c>
      <x:c r="P145" s="30" t="str">
        <x:v>申请书、盖章及提交方式待核</x:v>
      </x:c>
      <x:c r="Q145" s="30" t="str">
        <x:v>https://www.mju.edu.cn/imlab/2026/0724/c2194a223109/page.htm</x:v>
      </x:c>
      <x:c r="R145" s="30" t="str">
        <x:v>https://www.mju.edu.cn/imlab/2026/0724/c2194a223109/page.htm</x:v>
      </x:c>
      <x:c r="S145" s="30" t="str">
        <x:v>来源档案写明核过官网</x:v>
      </x:c>
      <x:c r="T145" s="30" t="str">
        <x:v>缺逐附件完成证据/不适用</x:v>
      </x:c>
      <x:c r="U145" s="30" t="str">
        <x:v>2026-10-08（资料核对；并非所有项目重新官网复核）</x:v>
      </x:c>
      <x:c r="V145" s="30" t="str">
        <x:v>关注下一年度开放指南</x:v>
      </x:c>
      <x:c r="W145" s="30" t="str">
        <x:v>每项资助1万元</x:v>
      </x:c>
      <x:c r="X145" s="30" t="str">
        <x:v>共有基线v0.8</x:v>
      </x:c>
      <x:c r="Y145" s="30" t="str">
        <x:v>v0.8:M088</x:v>
      </x:c>
      <x:c r="Z145" s="30" t="str">
        <x:v>原编号保留</x:v>
      </x:c>
    </x:row>
    <x:row r="146" ht="36" customHeight="1">
      <x:c r="A146" s="30" t="str">
        <x:v>M133</x:v>
      </x:c>
      <x:c r="B146" s="30" t="str">
        <x:v>开放基金/课题候选</x:v>
      </x:c>
      <x:c r="C146" s="30" t="str">
        <x:v>辽宁·辽宁省交通高等专科学校</x:v>
      </x:c>
      <x:c r="D146" s="30" t="str">
        <x:v>辽宁省桥梁安全工程重点实验室</x:v>
      </x:c>
      <x:c r="E146" s="30" t="str">
        <x:v>2026-08-15</x:v>
      </x:c>
      <x:c r="F146" s="30" t="str">
        <x:v>已截止·历史储备</x:v>
      </x:c>
      <x:c r="G146" s="30" t="str">
        <x:v>中</x:v>
      </x:c>
      <x:c r="H146" s="30" t="str">
        <x:v>方向/边界：桥梁水下探伤机器人、智能检测、图像感知；必须围绕桥梁安全</x:v>
      </x:c>
      <x:c r="I146" s="30" t="str">
        <x:v>与面上项目科学内容匹配程度依方向摘要判断；正式选题须核指南</x:v>
      </x:c>
      <x:c r="J146" s="30" t="str">
        <x:v>5万元/一般2万元</x:v>
      </x:c>
      <x:c r="K146" s="30" t="str">
        <x:v>资助/资格/证据：重点5万元/一般2万元；校外可报；现场工程验证与成果任务较重；官网正式通知</x:v>
      </x:c>
      <x:c r="L146" s="30" t="str">
        <x:v>固定成员合作要求待核</x:v>
      </x:c>
      <x:c r="M146" s="30" t="str">
        <x:v>是否外拨待核</x:v>
      </x:c>
      <x:c r="N146" s="30" t="str">
        <x:v>研究周期待核</x:v>
      </x:c>
      <x:c r="O146" s="30" t="str">
        <x:v>成果与署名规则待核</x:v>
      </x:c>
      <x:c r="P146" s="30" t="str">
        <x:v>申请书、盖章及提交方式待核</x:v>
      </x:c>
      <x:c r="Q146" s="30" t="str">
        <x:v>https://www.lncc.edu.cn/kjc/info/1015/3316.htm</x:v>
      </x:c>
      <x:c r="R146" s="30" t="str"/>
      <x:c r="S146" s="30" t="str">
        <x:v>仅继承来源信息/待核</x:v>
      </x:c>
      <x:c r="T146" s="30" t="str">
        <x:v>缺逐附件完成证据/不适用</x:v>
      </x:c>
      <x:c r="U146" s="30" t="str">
        <x:v>2026-10-08（资料核对；并非所有项目重新官网复核）</x:v>
      </x:c>
      <x:c r="V146" s="30" t="str">
        <x:v>关注下一年度开放指南</x:v>
      </x:c>
      <x:c r="W146" s="30" t="str">
        <x:v>资助/资格/证据：重点5万元/一般2万元；校外可报；现场工程验证与成果任务较重；官网正式通知</x:v>
      </x:c>
      <x:c r="X146" s="30" t="str">
        <x:v>共有基线v0.8</x:v>
      </x:c>
      <x:c r="Y146" s="30" t="str">
        <x:v>v0.8:M133</x:v>
      </x:c>
      <x:c r="Z146" s="30" t="str">
        <x:v>原编号保留</x:v>
      </x:c>
    </x:row>
    <x:row r="147" ht="36" customHeight="1">
      <x:c r="A147" s="30" t="str">
        <x:v>M101</x:v>
      </x:c>
      <x:c r="B147" s="30" t="str">
        <x:v>开放基金/课题候选</x:v>
      </x:c>
      <x:c r="C147" s="30" t="str">
        <x:v>北京理工大学、同济大学</x:v>
      </x:c>
      <x:c r="D147" s="30" t="str">
        <x:v>自主智能无人系统全国重点实验室</x:v>
      </x:c>
      <x:c r="E147" s="30" t="str">
        <x:v>2026-08-20</x:v>
      </x:c>
      <x:c r="F147" s="30" t="str">
        <x:v>已截止·历史储备</x:v>
      </x:c>
      <x:c r="G147" s="30" t="str">
        <x:v>中</x:v>
      </x:c>
      <x:c r="H147" s="30" t="str">
        <x:v>智能协同控制与优化决策；复杂动态场景主动感知与理解；仿生运动规划与自主控制</x:v>
      </x:c>
      <x:c r="I147" s="30" t="str">
        <x:v>与面上项目科学内容匹配程度依方向摘要判断；正式选题须核指南</x:v>
      </x:c>
      <x:c r="J147" s="30" t="str">
        <x:v>5-10万元/项</x:v>
      </x:c>
      <x:c r="K147" s="30" t="str">
        <x:v>面向非本校及本实验室固定人员；博士或高级职称（中级需推荐）；一般5-10万元/项，重点10-20万元/项；在读研究生及在站博士后不能担任负责人</x:v>
      </x:c>
      <x:c r="L147" s="30" t="str">
        <x:v>固定成员合作要求待核</x:v>
      </x:c>
      <x:c r="M147" s="30" t="str">
        <x:v>是否外拨待核</x:v>
      </x:c>
      <x:c r="N147" s="30" t="str">
        <x:v>研究周期待核</x:v>
      </x:c>
      <x:c r="O147" s="30" t="str">
        <x:v>成果与署名规则待核</x:v>
      </x:c>
      <x:c r="P147" s="30" t="str">
        <x:v>申请书、盖章及提交方式待核</x:v>
      </x:c>
      <x:c r="Q147" s="30" t="str">
        <x:v>https://csicdgz.bit.edu.cn/tzgg/6e35c0a49e1740b79cd16785597940ff.htm</x:v>
      </x:c>
      <x:c r="R147" s="30" t="str"/>
      <x:c r="S147" s="30" t="str">
        <x:v>来源档案写明核过官网</x:v>
      </x:c>
      <x:c r="T147" s="30" t="str">
        <x:v>缺逐附件完成证据/不适用</x:v>
      </x:c>
      <x:c r="U147" s="30" t="str">
        <x:v>2026-10-08（资料核对；并非所有项目重新官网复核）</x:v>
      </x:c>
      <x:c r="V147" s="30" t="str">
        <x:v>关注下一年度开放指南</x:v>
      </x:c>
      <x:c r="W147" s="30" t="str">
        <x:v>面向非本校及本实验室固定人员；博士或高级职称（中级需推荐）；一般5-10万元/项，重点10-20万元/项；在读研究生及在站博士后不能担任负责人</x:v>
      </x:c>
      <x:c r="X147" s="30" t="str">
        <x:v>共有基线v0.8</x:v>
      </x:c>
      <x:c r="Y147" s="30" t="str">
        <x:v>v0.8:M101</x:v>
      </x:c>
      <x:c r="Z147" s="30" t="str">
        <x:v>原编号保留</x:v>
      </x:c>
    </x:row>
    <x:row r="148" ht="36" customHeight="1">
      <x:c r="A148" s="30" t="str">
        <x:v>M097</x:v>
      </x:c>
      <x:c r="B148" s="30" t="str">
        <x:v>开放基金/课题候选</x:v>
      </x:c>
      <x:c r="C148" s="30" t="str">
        <x:v>深圳光明实验室</x:v>
      </x:c>
      <x:c r="D148" s="30" t="str">
        <x:v>人工智能与数字经济广东省实验室</x:v>
      </x:c>
      <x:c r="E148" s="30" t="str">
        <x:v>2026-08-24</x:v>
      </x:c>
      <x:c r="F148" s="30" t="str">
        <x:v>已截止·历史储备</x:v>
      </x:c>
      <x:c r="G148" s="30" t="str">
        <x:v>中</x:v>
      </x:c>
      <x:c r="H148" s="30" t="str">
        <x:v>具身世界模型；强化学习；三维重建；多模态学习</x:v>
      </x:c>
      <x:c r="I148" s="30" t="str">
        <x:v>与面上项目科学内容匹配程度依方向摘要判断；正式选题须核指南</x:v>
      </x:c>
      <x:c r="J148" s="30" t="str">
        <x:v>未记录／待核</x:v>
      </x:c>
      <x:c r="K148" s="30" t="str">
        <x:v>申请资格待核</x:v>
      </x:c>
      <x:c r="L148" s="30" t="str">
        <x:v>固定成员合作要求待核</x:v>
      </x:c>
      <x:c r="M148" s="30" t="str">
        <x:v>是否外拨待核</x:v>
      </x:c>
      <x:c r="N148" s="30" t="str">
        <x:v>研究周期待核</x:v>
      </x:c>
      <x:c r="O148" s="30" t="str">
        <x:v>成果与署名规则待核</x:v>
      </x:c>
      <x:c r="P148" s="30" t="str">
        <x:v>申请书、盖章及提交方式待核</x:v>
      </x:c>
      <x:c r="Q148" s="30" t="str">
        <x:v>https://www.gml.ac.cn/xxgs/973.html</x:v>
      </x:c>
      <x:c r="R148" s="30" t="str">
        <x:v>https://www.gml.ac.cn/xxgs/973.html</x:v>
      </x:c>
      <x:c r="S148" s="30" t="str">
        <x:v>仅继承来源信息/待核</x:v>
      </x:c>
      <x:c r="T148" s="30" t="str">
        <x:v>缺逐附件完成证据/不适用</x:v>
      </x:c>
      <x:c r="U148" s="30" t="str">
        <x:v>2026-10-08（资料核对；并非所有项目重新官网复核）</x:v>
      </x:c>
      <x:c r="V148" s="30" t="str">
        <x:v>关注下一年度开放指南</x:v>
      </x:c>
      <x:c r="W148" s="30" t="str">
        <x:v>申请资格待核</x:v>
      </x:c>
      <x:c r="X148" s="30" t="str">
        <x:v>共有基线v0.8</x:v>
      </x:c>
      <x:c r="Y148" s="30" t="str">
        <x:v>v0.8:M097</x:v>
      </x:c>
      <x:c r="Z148" s="30" t="str">
        <x:v>原编号保留</x:v>
      </x:c>
    </x:row>
    <x:row r="149" ht="36" customHeight="1">
      <x:c r="A149" s="30" t="str">
        <x:v>M176</x:v>
      </x:c>
      <x:c r="B149" s="30" t="str">
        <x:v>开放基金/课题候选</x:v>
      </x:c>
      <x:c r="C149" s="30" t="str">
        <x:v>东华大学</x:v>
      </x:c>
      <x:c r="D149" s="30" t="str">
        <x:v>先进纤维材料全国重点实验室</x:v>
      </x:c>
      <x:c r="E149" s="30" t="str">
        <x:v>2026-08-30</x:v>
      </x:c>
      <x:c r="F149" s="30" t="str">
        <x:v>已截止·历史储备</x:v>
      </x:c>
      <x:c r="G149" s="30" t="str">
        <x:v>中</x:v>
      </x:c>
      <x:c r="H149" s="30" t="str">
        <x:v>智能纤维制造、柔性材料；与机器人控制有间接方法交集</x:v>
      </x:c>
      <x:c r="I149" s="30" t="str">
        <x:v>与面上项目科学内容匹配程度依方向摘要判断；正式选题须核指南</x:v>
      </x:c>
      <x:c r="J149" s="30" t="str">
        <x:v>5-10万元</x:v>
      </x:c>
      <x:c r="K149" s="30" t="str">
        <x:v>经费/申报资格/限制：约5-10万元；需符合纤维材料研究方向</x:v>
      </x:c>
      <x:c r="L149" s="30" t="str">
        <x:v>固定成员合作要求待核</x:v>
      </x:c>
      <x:c r="M149" s="30" t="str">
        <x:v>是否外拨待核</x:v>
      </x:c>
      <x:c r="N149" s="30" t="str">
        <x:v>研究周期待核</x:v>
      </x:c>
      <x:c r="O149" s="30" t="str">
        <x:v>成果与署名规则待核</x:v>
      </x:c>
      <x:c r="P149" s="30" t="str">
        <x:v>申请书、盖章及提交方式待核</x:v>
      </x:c>
      <x:c r="Q149" s="30" t="str">
        <x:v>https://xxgk.dhu.edu.cn/2026/0727/c1482a379171/page.htm</x:v>
      </x:c>
      <x:c r="R149" s="30" t="str"/>
      <x:c r="S149" s="30" t="str">
        <x:v>仅继承来源信息/待核</x:v>
      </x:c>
      <x:c r="T149" s="30" t="str">
        <x:v>缺逐附件完成证据/不适用</x:v>
      </x:c>
      <x:c r="U149" s="30" t="str">
        <x:v>2026-10-08（资料核对；并非所有项目重新官网复核）</x:v>
      </x:c>
      <x:c r="V149" s="30" t="str">
        <x:v>关注下一年度开放指南</x:v>
      </x:c>
      <x:c r="W149" s="30" t="str">
        <x:v>经费/申报资格/限制：约5-10万元；需符合纤维材料研究方向</x:v>
      </x:c>
      <x:c r="X149" s="30" t="str">
        <x:v>共有基线v0.8</x:v>
      </x:c>
      <x:c r="Y149" s="30" t="str">
        <x:v>v0.8:M176</x:v>
      </x:c>
      <x:c r="Z149" s="30" t="str">
        <x:v>原编号保留</x:v>
      </x:c>
    </x:row>
    <x:row r="150" ht="36" customHeight="1">
      <x:c r="A150" s="30" t="str">
        <x:v>M016</x:v>
      </x:c>
      <x:c r="B150" s="30" t="str">
        <x:v>开放基金/课题候选</x:v>
      </x:c>
      <x:c r="C150" s="30" t="str">
        <x:v>清华大学</x:v>
      </x:c>
      <x:c r="D150" s="30" t="str">
        <x:v>高端装备界面科学与技术全国重点实验室</x:v>
      </x:c>
      <x:c r="E150" s="30" t="str">
        <x:v>2026-08-31</x:v>
      </x:c>
      <x:c r="F150" s="30" t="str">
        <x:v>已截止·历史储备</x:v>
      </x:c>
      <x:c r="G150" s="30" t="str">
        <x:v>中</x:v>
      </x:c>
      <x:c r="H150" s="30" t="str">
        <x:v>生物摩擦学与生医机械；生物接触界面；界面粘附控制；精密机器人</x:v>
      </x:c>
      <x:c r="I150" s="30" t="str">
        <x:v>与面上项目科学内容匹配程度依方向摘要判断；正式选题须核指南</x:v>
      </x:c>
      <x:c r="J150" s="30" t="str">
        <x:v>未记录／待核</x:v>
      </x:c>
      <x:c r="K150" s="30" t="str">
        <x:v>必须与固定人员有合作；主要用于实验室机时，不予外拨</x:v>
      </x:c>
      <x:c r="L150" s="30" t="str">
        <x:v>固定成员合作要求待核</x:v>
      </x:c>
      <x:c r="M150" s="30" t="str">
        <x:v>是否外拨待核</x:v>
      </x:c>
      <x:c r="N150" s="30" t="str">
        <x:v>研究周期待核</x:v>
      </x:c>
      <x:c r="O150" s="30" t="str">
        <x:v>成果与署名规则待核</x:v>
      </x:c>
      <x:c r="P150" s="30" t="str">
        <x:v>申请书、盖章及提交方式待核</x:v>
      </x:c>
      <x:c r="Q150" s="30" t="str">
        <x:v>https://sklt.tsinghua.edu.cn/info/1081/3517.htm</x:v>
      </x:c>
      <x:c r="R150" s="30" t="str"/>
      <x:c r="S150" s="30" t="str">
        <x:v>来源档案写明核过官网</x:v>
      </x:c>
      <x:c r="T150" s="30" t="str">
        <x:v>缺逐附件完成证据/不适用</x:v>
      </x:c>
      <x:c r="U150" s="30" t="str">
        <x:v>2026-10-08（资料核对；并非所有项目重新官网复核）</x:v>
      </x:c>
      <x:c r="V150" s="30" t="str">
        <x:v>关注下一年度开放指南</x:v>
      </x:c>
      <x:c r="W150" s="30" t="str">
        <x:v>必须与固定人员有合作；主要用于实验室机时，不予外拨</x:v>
      </x:c>
      <x:c r="X150" s="30" t="str">
        <x:v>共有基线v0.8</x:v>
      </x:c>
      <x:c r="Y150" s="30" t="str">
        <x:v>v0.8:M016</x:v>
      </x:c>
      <x:c r="Z150" s="30" t="str">
        <x:v>原编号保留</x:v>
      </x:c>
    </x:row>
    <x:row r="151" ht="36" customHeight="1">
      <x:c r="A151" s="30" t="str">
        <x:v>M103</x:v>
      </x:c>
      <x:c r="B151" s="30" t="str">
        <x:v>开放基金/课题候选</x:v>
      </x:c>
      <x:c r="C151" s="30" t="str">
        <x:v>重庆城市职业学院</x:v>
      </x:c>
      <x:c r="D151" s="30" t="str">
        <x:v>工业机器人运维重庆市高校工程中心</x:v>
      </x:c>
      <x:c r="E151" s="30" t="str">
        <x:v>2026-09-01</x:v>
      </x:c>
      <x:c r="F151" s="30" t="str">
        <x:v>已截止·历史储备</x:v>
      </x:c>
      <x:c r="G151" s="30" t="str">
        <x:v>中</x:v>
      </x:c>
      <x:c r="H151" s="30" t="str">
        <x:v>具身机器人全场景自主运维；工业机器人与智能产线故障预测及控制</x:v>
      </x:c>
      <x:c r="I151" s="30" t="str">
        <x:v>与面上项目科学内容匹配程度依方向摘要判断；正式选题须核指南</x:v>
      </x:c>
      <x:c r="J151" s="30" t="str">
        <x:v>未记录／待核</x:v>
      </x:c>
      <x:c r="K151" s="30" t="str">
        <x:v>仅工程中心合作单位人员及相关人员；非面向所有校外人员的开放征集，申请资格需先核实</x:v>
      </x:c>
      <x:c r="L151" s="30" t="str">
        <x:v>固定成员合作要求待核</x:v>
      </x:c>
      <x:c r="M151" s="30" t="str">
        <x:v>是否外拨待核</x:v>
      </x:c>
      <x:c r="N151" s="30" t="str">
        <x:v>研究周期待核</x:v>
      </x:c>
      <x:c r="O151" s="30" t="str">
        <x:v>成果与署名规则待核</x:v>
      </x:c>
      <x:c r="P151" s="30" t="str">
        <x:v>申请书、盖章及提交方式待核</x:v>
      </x:c>
      <x:c r="Q151" s="30" t="str">
        <x:v>https://kyc.cqcvc.edu.cn/info.thtml?cid=74479&amp;pn=&amp;t=11322</x:v>
      </x:c>
      <x:c r="R151" s="30" t="str">
        <x:v>https://kyc.cqcvc.edu.cn/info.thtml?cid=74479&amp;pn=&amp;t=11322</x:v>
      </x:c>
      <x:c r="S151" s="30" t="str">
        <x:v>来源档案写明核过官网</x:v>
      </x:c>
      <x:c r="T151" s="30" t="str">
        <x:v>缺逐附件完成证据/不适用</x:v>
      </x:c>
      <x:c r="U151" s="30" t="str">
        <x:v>2026-10-08（资料核对；并非所有项目重新官网复核）</x:v>
      </x:c>
      <x:c r="V151" s="30" t="str">
        <x:v>关注下一年度开放指南</x:v>
      </x:c>
      <x:c r="W151" s="30" t="str">
        <x:v>仅工程中心合作单位人员及相关人员；非面向所有校外人员的开放征集，申请资格需先核实</x:v>
      </x:c>
      <x:c r="X151" s="30" t="str">
        <x:v>共有基线v0.8</x:v>
      </x:c>
      <x:c r="Y151" s="30" t="str">
        <x:v>v0.8:M103</x:v>
      </x:c>
      <x:c r="Z151" s="30" t="str">
        <x:v>原编号保留</x:v>
      </x:c>
    </x:row>
    <x:row r="152" ht="36" customHeight="1">
      <x:c r="A152" s="30" t="str">
        <x:v>M033</x:v>
      </x:c>
      <x:c r="B152" s="30" t="str">
        <x:v>开放基金/课题候选</x:v>
      </x:c>
      <x:c r="C152" s="30" t="str">
        <x:v>重庆大学</x:v>
      </x:c>
      <x:c r="D152" s="30" t="str">
        <x:v>高端装备机械传动全国重点实验室</x:v>
      </x:c>
      <x:c r="E152" s="30" t="str">
        <x:v>2026-09-03</x:v>
      </x:c>
      <x:c r="F152" s="30" t="str">
        <x:v>已截止·历史储备</x:v>
      </x:c>
      <x:c r="G152" s="30" t="str">
        <x:v>中</x:v>
      </x:c>
      <x:c r="H152" s="30" t="str">
        <x:v>工业机器人传动系统建模；机电耦合；传动系统服役行为与控制</x:v>
      </x:c>
      <x:c r="I152" s="30" t="str">
        <x:v>与面上项目科学内容匹配程度依方向摘要判断；正式选题须核指南</x:v>
      </x:c>
      <x:c r="J152" s="30" t="str">
        <x:v>未记录／待核</x:v>
      </x:c>
      <x:c r="K152" s="30" t="str">
        <x:v>2026申报时间据项目数据库；实验室官网仅核实2025版规则</x:v>
      </x:c>
      <x:c r="L152" s="30" t="str">
        <x:v>固定成员合作要求待核</x:v>
      </x:c>
      <x:c r="M152" s="30" t="str">
        <x:v>是否外拨待核</x:v>
      </x:c>
      <x:c r="N152" s="30" t="str">
        <x:v>研究周期待核</x:v>
      </x:c>
      <x:c r="O152" s="30" t="str">
        <x:v>成果与署名规则待核</x:v>
      </x:c>
      <x:c r="P152" s="30" t="str">
        <x:v>申请书、盖章及提交方式待核</x:v>
      </x:c>
      <x:c r="Q152" s="30" t="str">
        <x:v>https://slmt.cqu.edu.cn/</x:v>
      </x:c>
      <x:c r="R152" s="30" t="str"/>
      <x:c r="S152" s="30" t="str">
        <x:v>来源档案写明核过官网</x:v>
      </x:c>
      <x:c r="T152" s="30" t="str">
        <x:v>缺逐附件完成证据/不适用</x:v>
      </x:c>
      <x:c r="U152" s="30" t="str">
        <x:v>2026-10-08（资料核对；并非所有项目重新官网复核）</x:v>
      </x:c>
      <x:c r="V152" s="30" t="str">
        <x:v>关注下一年度开放指南</x:v>
      </x:c>
      <x:c r="W152" s="30" t="str">
        <x:v>2026申报时间据项目数据库；实验室官网仅核实2025版规则</x:v>
      </x:c>
      <x:c r="X152" s="30" t="str">
        <x:v>共有基线v0.8</x:v>
      </x:c>
      <x:c r="Y152" s="30" t="str">
        <x:v>v0.8:M033</x:v>
      </x:c>
      <x:c r="Z152" s="30" t="str">
        <x:v>原编号保留</x:v>
      </x:c>
    </x:row>
    <x:row r="153" ht="36" customHeight="1">
      <x:c r="A153" s="30" t="str">
        <x:v>M053</x:v>
      </x:c>
      <x:c r="B153" s="30" t="str">
        <x:v>开放基金/课题候选</x:v>
      </x:c>
      <x:c r="C153" s="30" t="str">
        <x:v>兰州理工大学</x:v>
      </x:c>
      <x:c r="D153" s="30" t="str">
        <x:v>成套装备智能化集成技术教育部重点实验室</x:v>
      </x:c>
      <x:c r="E153" s="30" t="str">
        <x:v>2026-09-17</x:v>
      </x:c>
      <x:c r="F153" s="30" t="str">
        <x:v>已截止·历史储备</x:v>
      </x:c>
      <x:c r="G153" s="30" t="str">
        <x:v>中</x:v>
      </x:c>
      <x:c r="H153" s="30" t="str">
        <x:v>刚柔耦合动力学；多源融合；机器人轨迹规划；强化学习与智能控制</x:v>
      </x:c>
      <x:c r="I153" s="30" t="str">
        <x:v>与面上项目科学内容匹配程度依方向摘要判断；正式选题须核指南</x:v>
      </x:c>
      <x:c r="J153" s="30" t="str">
        <x:v>一般2万元/重点5万元，2年（历史记录）</x:v>
      </x:c>
      <x:c r="K153" s="30" t="str">
        <x:v>博士或副高（或两名正高级推荐）；本室联系人；经费拨付外部单位</x:v>
      </x:c>
      <x:c r="L153" s="30" t="str">
        <x:v>固定成员合作要求待核</x:v>
      </x:c>
      <x:c r="M153" s="30" t="str">
        <x:v>是否外拨待核</x:v>
      </x:c>
      <x:c r="N153" s="30" t="str">
        <x:v>研究周期待核</x:v>
      </x:c>
      <x:c r="O153" s="30" t="str">
        <x:v>成果与署名规则待核</x:v>
      </x:c>
      <x:c r="P153" s="30" t="str">
        <x:v>申请书、盖章及提交方式待核</x:v>
      </x:c>
      <x:c r="Q153" s="30" t="str">
        <x:v>https://jidian.lut.edu.cn/info/1924/18496.htm</x:v>
      </x:c>
      <x:c r="R153" s="30" t="str">
        <x:v>https://jidian.lut.edu.cn/info/1924/18496.htm</x:v>
      </x:c>
      <x:c r="S153" s="30" t="str">
        <x:v>来源档案写明核过官网</x:v>
      </x:c>
      <x:c r="T153" s="30" t="str">
        <x:v>缺逐附件完成证据/不适用</x:v>
      </x:c>
      <x:c r="U153" s="30" t="str">
        <x:v>2026-10-08（资料核对；并非所有项目重新官网复核）</x:v>
      </x:c>
      <x:c r="V153" s="30" t="str">
        <x:v>关注下一年度开放指南</x:v>
      </x:c>
      <x:c r="W153" s="30" t="str">
        <x:v>博士或副高（或两名正高级推荐）；本室联系人；经费拨付外部单位</x:v>
      </x:c>
      <x:c r="X153" s="30" t="str">
        <x:v>共有基线v0.8</x:v>
      </x:c>
      <x:c r="Y153" s="30" t="str">
        <x:v>v0.8:M053</x:v>
      </x:c>
      <x:c r="Z153" s="30" t="str">
        <x:v>原编号保留</x:v>
      </x:c>
    </x:row>
    <x:row r="154" ht="36" customHeight="1">
      <x:c r="A154" s="30" t="str">
        <x:v>M111</x:v>
      </x:c>
      <x:c r="B154" s="30" t="str">
        <x:v>开放基金/课题候选</x:v>
      </x:c>
      <x:c r="C154" s="30" t="str">
        <x:v>海南大学</x:v>
      </x:c>
      <x:c r="D154" s="30" t="str">
        <x:v>海南省生物医学工程重点实验室</x:v>
      </x:c>
      <x:c r="E154" s="30" t="str">
        <x:v>2026-09-20</x:v>
      </x:c>
      <x:c r="F154" s="30" t="str">
        <x:v>已截止·历史储备</x:v>
      </x:c>
      <x:c r="G154" s="30" t="str">
        <x:v>中</x:v>
      </x:c>
      <x:c r="H154" s="30" t="str">
        <x:v>医学图像、多模态诊疗、智能医学设备</x:v>
      </x:c>
      <x:c r="I154" s="30" t="str">
        <x:v>与面上项目科学内容匹配程度依方向摘要判断；正式选题须核指南</x:v>
      </x:c>
      <x:c r="J154" s="30" t="str">
        <x:v>未记录／待核</x:v>
      </x:c>
      <x:c r="K154" s="30" t="str">
        <x:v>申请资格待核</x:v>
      </x:c>
      <x:c r="L154" s="30" t="str">
        <x:v>固定成员合作要求待核</x:v>
      </x:c>
      <x:c r="M154" s="30" t="str">
        <x:v>是否外拨待核</x:v>
      </x:c>
      <x:c r="N154" s="30" t="str">
        <x:v>研究周期待核</x:v>
      </x:c>
      <x:c r="O154" s="30" t="str">
        <x:v>成果与署名规则待核</x:v>
      </x:c>
      <x:c r="P154" s="30" t="str">
        <x:v>申请书、盖章及提交方式待核</x:v>
      </x:c>
      <x:c r="Q154" s="30" t="str">
        <x:v>https://bme.hainanu.edu.cn/info/1051/11891.htm</x:v>
      </x:c>
      <x:c r="R154" s="30" t="str"/>
      <x:c r="S154" s="30" t="str">
        <x:v>仅继承来源信息/待核</x:v>
      </x:c>
      <x:c r="T154" s="30" t="str">
        <x:v>缺逐附件完成证据/不适用</x:v>
      </x:c>
      <x:c r="U154" s="30" t="str">
        <x:v>2026-10-08（资料核对；并非所有项目重新官网复核）</x:v>
      </x:c>
      <x:c r="V154" s="30" t="str">
        <x:v>关注下一年度开放指南</x:v>
      </x:c>
      <x:c r="W154" s="30" t="str">
        <x:v>申请资格待核</x:v>
      </x:c>
      <x:c r="X154" s="30" t="str">
        <x:v>共有基线v0.8</x:v>
      </x:c>
      <x:c r="Y154" s="30" t="str">
        <x:v>v0.8:M111</x:v>
      </x:c>
      <x:c r="Z154" s="30" t="str">
        <x:v>原编号保留</x:v>
      </x:c>
    </x:row>
    <x:row r="155" ht="36" customHeight="1">
      <x:c r="A155" s="30" t="str">
        <x:v>M050</x:v>
      </x:c>
      <x:c r="B155" s="30" t="str">
        <x:v>开放基金/课题候选</x:v>
      </x:c>
      <x:c r="C155" s="30" t="str">
        <x:v>华中科技大学</x:v>
      </x:c>
      <x:c r="D155" s="30" t="str">
        <x:v>图像信息处理与智能控制教育部重点实验室</x:v>
      </x:c>
      <x:c r="E155" s="30" t="str">
        <x:v>2026-09-21</x:v>
      </x:c>
      <x:c r="F155" s="30" t="str">
        <x:v>已截止·历史储备</x:v>
      </x:c>
      <x:c r="G155" s="30" t="str">
        <x:v>中</x:v>
      </x:c>
      <x:c r="H155" s="30" t="str">
        <x:v>图像处理；高级机器学习；具身智能；智能控制</x:v>
      </x:c>
      <x:c r="I155" s="30" t="str">
        <x:v>与面上项目科学内容匹配程度依方向摘要判断；正式选题须核指南</x:v>
      </x:c>
      <x:c r="J155" s="30" t="str">
        <x:v>未记录／待核</x:v>
      </x:c>
      <x:c r="K155" s="30" t="str">
        <x:v>成果署名、年龄等以原指南为准</x:v>
      </x:c>
      <x:c r="L155" s="30" t="str">
        <x:v>固定成员合作要求待核</x:v>
      </x:c>
      <x:c r="M155" s="30" t="str">
        <x:v>是否外拨待核</x:v>
      </x:c>
      <x:c r="N155" s="30" t="str">
        <x:v>研究周期待核</x:v>
      </x:c>
      <x:c r="O155" s="30" t="str">
        <x:v>成果与署名规则待核</x:v>
      </x:c>
      <x:c r="P155" s="30" t="str">
        <x:v>申请书、盖章及提交方式待核</x:v>
      </x:c>
      <x:c r="Q155" s="30" t="str">
        <x:v>https://aia.hust.edu.cn/info/1174/11568.htm</x:v>
      </x:c>
      <x:c r="R155" s="30" t="str">
        <x:v>https://aia.hust.edu.cn/info/1174/11568.htm</x:v>
      </x:c>
      <x:c r="S155" s="30" t="str">
        <x:v>来源档案写明核过官网</x:v>
      </x:c>
      <x:c r="T155" s="30" t="str">
        <x:v>缺逐附件完成证据/不适用</x:v>
      </x:c>
      <x:c r="U155" s="30" t="str">
        <x:v>2026-10-08（资料核对；并非所有项目重新官网复核）</x:v>
      </x:c>
      <x:c r="V155" s="30" t="str">
        <x:v>关注下一年度开放指南</x:v>
      </x:c>
      <x:c r="W155" s="30" t="str">
        <x:v>成果署名、年龄等以原指南为准</x:v>
      </x:c>
      <x:c r="X155" s="30" t="str">
        <x:v>共有基线v0.8</x:v>
      </x:c>
      <x:c r="Y155" s="30" t="str">
        <x:v>v0.8:M050</x:v>
      </x:c>
      <x:c r="Z155" s="30" t="str">
        <x:v>原编号保留</x:v>
      </x:c>
    </x:row>
    <x:row r="156" ht="36" customHeight="1">
      <x:c r="A156" s="30" t="str">
        <x:v>M064</x:v>
      </x:c>
      <x:c r="B156" s="30" t="str">
        <x:v>开放基金/课题候选</x:v>
      </x:c>
      <x:c r="C156" s="30" t="str">
        <x:v>江淮实验室</x:v>
      </x:c>
      <x:c r="D156" s="30" t="str">
        <x:v>安徽省人形机器人重点实验室</x:v>
      </x:c>
      <x:c r="E156" s="30" t="str">
        <x:v>2026-09-24</x:v>
      </x:c>
      <x:c r="F156" s="30" t="str">
        <x:v>已截止·历史储备</x:v>
      </x:c>
      <x:c r="G156" s="30" t="str">
        <x:v>中</x:v>
      </x:c>
      <x:c r="H156" s="30" t="str">
        <x:v>感知-决策-控制；灵巧操作；机器人运动控制</x:v>
      </x:c>
      <x:c r="I156" s="30" t="str">
        <x:v>与面上项目科学内容匹配程度依方向摘要判断；正式选题须核指南</x:v>
      </x:c>
      <x:c r="J156" s="30" t="str">
        <x:v>未记录／待核</x:v>
      </x:c>
      <x:c r="K156" s="30" t="str">
        <x:v>仅指南建议征集，正式申报公告尚未证实</x:v>
      </x:c>
      <x:c r="L156" s="30" t="str">
        <x:v>固定成员合作要求待核</x:v>
      </x:c>
      <x:c r="M156" s="30" t="str">
        <x:v>是否外拨待核</x:v>
      </x:c>
      <x:c r="N156" s="30" t="str">
        <x:v>研究周期待核</x:v>
      </x:c>
      <x:c r="O156" s="30" t="str">
        <x:v>成果与署名规则待核</x:v>
      </x:c>
      <x:c r="P156" s="30" t="str">
        <x:v>申请书、盖章及提交方式待核</x:v>
      </x:c>
      <x:c r="Q156" s="30" t="str">
        <x:v>https://www.jhatc.cn/html/mobile/kexue/pingtaichanpin/2098331115939979266.html</x:v>
      </x:c>
      <x:c r="R156" s="30" t="str">
        <x:v>https://www.jhatc.cn/html/mobile/kexue/pingtaichanpin/2098331115939979266.html</x:v>
      </x:c>
      <x:c r="S156" s="30" t="str">
        <x:v>来源档案写明核过官网</x:v>
      </x:c>
      <x:c r="T156" s="30" t="str">
        <x:v>缺逐附件完成证据/不适用</x:v>
      </x:c>
      <x:c r="U156" s="30" t="str">
        <x:v>2026-10-08（资料核对；并非所有项目重新官网复核）</x:v>
      </x:c>
      <x:c r="V156" s="30" t="str">
        <x:v>关注下一年度开放指南</x:v>
      </x:c>
      <x:c r="W156" s="30" t="str">
        <x:v>仅指南建议征集，正式申报公告尚未证实</x:v>
      </x:c>
      <x:c r="X156" s="30" t="str">
        <x:v>共有基线v0.8</x:v>
      </x:c>
      <x:c r="Y156" s="30" t="str">
        <x:v>v0.8:M064</x:v>
      </x:c>
      <x:c r="Z156" s="30" t="str">
        <x:v>原编号保留</x:v>
      </x:c>
    </x:row>
    <x:row r="157" ht="36" customHeight="1">
      <x:c r="A157" s="30" t="str">
        <x:v>M129</x:v>
      </x:c>
      <x:c r="B157" s="30" t="str">
        <x:v>开放基金/课题候选</x:v>
      </x:c>
      <x:c r="C157" s="30" t="str">
        <x:v>湖北·华中师范大学</x:v>
      </x:c>
      <x:c r="D157" s="30" t="str">
        <x:v>人工智能与智慧学习湖北省重点实验室</x:v>
      </x:c>
      <x:c r="E157" s="30" t="str">
        <x:v>2026-09-25</x:v>
      </x:c>
      <x:c r="F157" s="30" t="str">
        <x:v>已截止·历史储备</x:v>
      </x:c>
      <x:c r="G157" s="30" t="str">
        <x:v>中</x:v>
      </x:c>
      <x:c r="H157" s="30" t="str">
        <x:v>方向/边界：计算机视觉、多模态学习、智能决策模型；教育应用定位</x:v>
      </x:c>
      <x:c r="I157" s="30" t="str">
        <x:v>与面上项目科学内容匹配程度依方向摘要判断；正式选题须核指南</x:v>
      </x:c>
      <x:c r="J157" s="30" t="str">
        <x:v>1万元</x:v>
      </x:c>
      <x:c r="K157" s="30" t="str">
        <x:v>资助/资格/证据：15项/每项1万元；博士或中级以上职称；必须与固定人员合作；成果共享/共同署名；官网正式公告</x:v>
      </x:c>
      <x:c r="L157" s="30" t="str">
        <x:v>固定成员合作要求待核</x:v>
      </x:c>
      <x:c r="M157" s="30" t="str">
        <x:v>是否外拨待核</x:v>
      </x:c>
      <x:c r="N157" s="30" t="str">
        <x:v>研究周期待核</x:v>
      </x:c>
      <x:c r="O157" s="30" t="str">
        <x:v>成果与署名规则待核</x:v>
      </x:c>
      <x:c r="P157" s="30" t="str">
        <x:v>申请书、盖章及提交方式待核</x:v>
      </x:c>
      <x:c r="Q157" s="30" t="str">
        <x:v>https://cs.ccnu.edu.cn/info/1056/13676.htm</x:v>
      </x:c>
      <x:c r="R157" s="30" t="str"/>
      <x:c r="S157" s="30" t="str">
        <x:v>仅继承来源信息/待核</x:v>
      </x:c>
      <x:c r="T157" s="30" t="str">
        <x:v>缺逐附件完成证据/不适用</x:v>
      </x:c>
      <x:c r="U157" s="30" t="str">
        <x:v>2026-10-08（资料核对；并非所有项目重新官网复核）</x:v>
      </x:c>
      <x:c r="V157" s="30" t="str">
        <x:v>关注下一年度开放指南</x:v>
      </x:c>
      <x:c r="W157" s="30" t="str">
        <x:v>资助/资格/证据：15项/每项1万元；博士或中级以上职称；必须与固定人员合作；成果共享/共同署名；官网正式公告</x:v>
      </x:c>
      <x:c r="X157" s="30" t="str">
        <x:v>共有基线v0.8</x:v>
      </x:c>
      <x:c r="Y157" s="30" t="str">
        <x:v>v0.8:M129</x:v>
      </x:c>
      <x:c r="Z157" s="30" t="str">
        <x:v>原编号保留</x:v>
      </x:c>
    </x:row>
    <x:row r="158" ht="36" customHeight="1">
      <x:c r="A158" s="30" t="str">
        <x:v>M057</x:v>
      </x:c>
      <x:c r="B158" s="30" t="str">
        <x:v>开放基金/课题候选</x:v>
      </x:c>
      <x:c r="C158" s="30" t="str">
        <x:v>云南大学</x:v>
      </x:c>
      <x:c r="D158" s="30" t="str">
        <x:v>云南省智能系统与计算重点实验室</x:v>
      </x:c>
      <x:c r="E158" s="30" t="str">
        <x:v>2026-09-27</x:v>
      </x:c>
      <x:c r="F158" s="30" t="str">
        <x:v>已截止·历史储备</x:v>
      </x:c>
      <x:c r="G158" s="30" t="str">
        <x:v>中</x:v>
      </x:c>
      <x:c r="H158" s="30" t="str">
        <x:v>多智能体决策；智能计算；自主控制</x:v>
      </x:c>
      <x:c r="I158" s="30" t="str">
        <x:v>与面上项目科学内容匹配程度依方向摘要判断；正式选题须核指南</x:v>
      </x:c>
      <x:c r="J158" s="30" t="str">
        <x:v>重点≤8万元/一般≤2万元/定向1万元，1年（历史记录）</x:v>
      </x:c>
      <x:c r="K158" s="30" t="str">
        <x:v>申请资格待核</x:v>
      </x:c>
      <x:c r="L158" s="30" t="str">
        <x:v>固定成员合作要求待核</x:v>
      </x:c>
      <x:c r="M158" s="30" t="str">
        <x:v>是否外拨待核</x:v>
      </x:c>
      <x:c r="N158" s="30" t="str">
        <x:v>研究周期待核</x:v>
      </x:c>
      <x:c r="O158" s="30" t="str">
        <x:v>成果与署名规则待核</x:v>
      </x:c>
      <x:c r="P158" s="30" t="str">
        <x:v>申请书、盖章及提交方式待核</x:v>
      </x:c>
      <x:c r="Q158" s="30" t="str">
        <x:v>https://www.ise.ynu.edu.cn/page/166/?news_list_id=3</x:v>
      </x:c>
      <x:c r="R158" s="30" t="str">
        <x:v>https://www.ise.ynu.edu.cn/page/166/?news_list_id=3</x:v>
      </x:c>
      <x:c r="S158" s="30" t="str">
        <x:v>仅继承来源信息/待核</x:v>
      </x:c>
      <x:c r="T158" s="30" t="str">
        <x:v>缺逐附件完成证据/不适用</x:v>
      </x:c>
      <x:c r="U158" s="30" t="str">
        <x:v>2026-10-08（资料核对；并非所有项目重新官网复核）</x:v>
      </x:c>
      <x:c r="V158" s="30" t="str">
        <x:v>关注下一年度开放指南</x:v>
      </x:c>
      <x:c r="W158" s="30" t="str">
        <x:v>申请资格待核</x:v>
      </x:c>
      <x:c r="X158" s="30" t="str">
        <x:v>共有基线v0.8</x:v>
      </x:c>
      <x:c r="Y158" s="30" t="str">
        <x:v>v0.8:M057</x:v>
      </x:c>
      <x:c r="Z158" s="30" t="str">
        <x:v>原编号保留</x:v>
      </x:c>
    </x:row>
    <x:row r="159" ht="36" customHeight="1">
      <x:c r="A159" s="30" t="str">
        <x:v>M011</x:v>
      </x:c>
      <x:c r="B159" s="30" t="str">
        <x:v>开放基金/课题候选</x:v>
      </x:c>
      <x:c r="C159" s="30" t="str">
        <x:v>中国科学院计算技术研究所</x:v>
      </x:c>
      <x:c r="D159" s="30" t="str">
        <x:v>智能算法安全全国重点实验室</x:v>
      </x:c>
      <x:c r="E159" s="30" t="str">
        <x:v>2026-09-30</x:v>
      </x:c>
      <x:c r="F159" s="30" t="str">
        <x:v>已截止·历史储备</x:v>
      </x:c>
      <x:c r="G159" s="30" t="str">
        <x:v>中</x:v>
      </x:c>
      <x:c r="H159" s="30" t="str">
        <x:v>多模态可信表征、VLA机器人安全、鲁棒感知、端侧智能系统安全</x:v>
      </x:c>
      <x:c r="I159" s="30" t="str">
        <x:v>与面上项目科学内容匹配程度依方向摘要判断；正式选题须核指南</x:v>
      </x:c>
      <x:c r="J159" s="30" t="str">
        <x:v>10-15万元</x:v>
      </x:c>
      <x:c r="K159" s="30" t="str">
        <x:v>主要为智能算法安全研究而非医学机器人任务；10-15万元</x:v>
      </x:c>
      <x:c r="L159" s="30" t="str">
        <x:v>固定成员合作要求待核</x:v>
      </x:c>
      <x:c r="M159" s="30" t="str">
        <x:v>是否外拨待核</x:v>
      </x:c>
      <x:c r="N159" s="30" t="str">
        <x:v>研究周期待核</x:v>
      </x:c>
      <x:c r="O159" s="30" t="str">
        <x:v>成果与署名规则待核</x:v>
      </x:c>
      <x:c r="P159" s="30" t="str">
        <x:v>申请书、盖章及提交方式待核</x:v>
      </x:c>
      <x:c r="Q159" s="30" t="str">
        <x:v>https://klais.ict.ac.cn/tzgg/xmzj/202609/t20260908_856264.html</x:v>
      </x:c>
      <x:c r="R159" s="30" t="str">
        <x:v>https://klais.ict.ac.cn/tzgg/xmzj/202609/t20260908_856264.html</x:v>
      </x:c>
      <x:c r="S159" s="30" t="str">
        <x:v>来源档案写明核过官网</x:v>
      </x:c>
      <x:c r="T159" s="30" t="str">
        <x:v>缺逐附件完成证据/不适用</x:v>
      </x:c>
      <x:c r="U159" s="30" t="str">
        <x:v>2026-10-08（资料核对；并非所有项目重新官网复核）</x:v>
      </x:c>
      <x:c r="V159" s="30" t="str">
        <x:v>关注下一年度开放指南</x:v>
      </x:c>
      <x:c r="W159" s="30" t="str">
        <x:v>主要为智能算法安全研究而非医学机器人任务；10-15万元</x:v>
      </x:c>
      <x:c r="X159" s="30" t="str">
        <x:v>共有基线v0.8</x:v>
      </x:c>
      <x:c r="Y159" s="30" t="str">
        <x:v>v0.8:M011</x:v>
      </x:c>
      <x:c r="Z159" s="30" t="str">
        <x:v>原编号保留</x:v>
      </x:c>
    </x:row>
    <x:row r="160" ht="36" customHeight="1">
      <x:c r="A160" s="30" t="str">
        <x:v>M046</x:v>
      </x:c>
      <x:c r="B160" s="30" t="str">
        <x:v>开放基金/课题候选</x:v>
      </x:c>
      <x:c r="C160" s="30" t="str">
        <x:v>东南大学</x:v>
      </x:c>
      <x:c r="D160" s="30" t="str">
        <x:v>新一代人工智能技术与交叉应用教育部重点实验室</x:v>
      </x:c>
      <x:c r="E160" s="30" t="str">
        <x:v>2024-11-30</x:v>
      </x:c>
      <x:c r="F160" s="30" t="str">
        <x:v>已截止·历史储备</x:v>
      </x:c>
      <x:c r="G160" s="30" t="str">
        <x:v>低</x:v>
      </x:c>
      <x:c r="H160" s="30" t="str">
        <x:v>医学影像；智能学习；手术规划</x:v>
      </x:c>
      <x:c r="I160" s="30" t="str">
        <x:v>与面上项目科学内容匹配程度依方向摘要判断；正式选题须核指南</x:v>
      </x:c>
      <x:c r="J160" s="30" t="str">
        <x:v>未记录／待核</x:v>
      </x:c>
      <x:c r="K160" s="30" t="str">
        <x:v>申请资格待核</x:v>
      </x:c>
      <x:c r="L160" s="30" t="str">
        <x:v>固定成员合作要求待核</x:v>
      </x:c>
      <x:c r="M160" s="30" t="str">
        <x:v>是否外拨待核</x:v>
      </x:c>
      <x:c r="N160" s="30" t="str">
        <x:v>研究周期待核</x:v>
      </x:c>
      <x:c r="O160" s="30" t="str">
        <x:v>成果与署名规则待核</x:v>
      </x:c>
      <x:c r="P160" s="30" t="str">
        <x:v>申请书、盖章及提交方式待核</x:v>
      </x:c>
      <x:c r="Q160" s="30" t="str">
        <x:v>https://aiia.seu.edu.cn/2024/1010/c50239a505891/page.htm</x:v>
      </x:c>
      <x:c r="R160" s="30" t="str"/>
      <x:c r="S160" s="30" t="str">
        <x:v>仅继承来源信息/待核</x:v>
      </x:c>
      <x:c r="T160" s="30" t="str">
        <x:v>缺逐附件完成证据/不适用</x:v>
      </x:c>
      <x:c r="U160" s="30" t="str">
        <x:v>2026-10-08（资料核对；并非所有项目重新官网复核）</x:v>
      </x:c>
      <x:c r="V160" s="30" t="str">
        <x:v>关注下一年度开放指南</x:v>
      </x:c>
      <x:c r="W160" s="30" t="str">
        <x:v>申请资格待核</x:v>
      </x:c>
      <x:c r="X160" s="30" t="str">
        <x:v>共有基线v0.8</x:v>
      </x:c>
      <x:c r="Y160" s="30" t="str">
        <x:v>v0.8:M046</x:v>
      </x:c>
      <x:c r="Z160" s="30" t="str">
        <x:v>原编号保留</x:v>
      </x:c>
    </x:row>
    <x:row r="161" ht="36" customHeight="1">
      <x:c r="A161" s="30" t="str">
        <x:v>M127</x:v>
      </x:c>
      <x:c r="B161" s="30" t="str">
        <x:v>开放基金/课题候选</x:v>
      </x:c>
      <x:c r="C161" s="30" t="str">
        <x:v>贵州师范学院</x:v>
      </x:c>
      <x:c r="D161" s="30" t="str">
        <x:v>贵州省人工智能与类脑计算全省重点实验室</x:v>
      </x:c>
      <x:c r="E161" s="30" t="str">
        <x:v>2025-01-12</x:v>
      </x:c>
      <x:c r="F161" s="30" t="str">
        <x:v>已截止·历史储备</x:v>
      </x:c>
      <x:c r="G161" s="30" t="str">
        <x:v>低</x:v>
      </x:c>
      <x:c r="H161" s="30" t="str">
        <x:v>类脑智能、自适应学习、智能系统</x:v>
      </x:c>
      <x:c r="I161" s="30" t="str">
        <x:v>与面上项目科学内容匹配程度依方向摘要判断；正式选题须核指南</x:v>
      </x:c>
      <x:c r="J161" s="30" t="str">
        <x:v>未记录／待核</x:v>
      </x:c>
      <x:c r="K161" s="30" t="str">
        <x:v>申请资格待核</x:v>
      </x:c>
      <x:c r="L161" s="30" t="str">
        <x:v>固定成员合作要求待核</x:v>
      </x:c>
      <x:c r="M161" s="30" t="str">
        <x:v>是否外拨待核</x:v>
      </x:c>
      <x:c r="N161" s="30" t="str">
        <x:v>研究周期待核</x:v>
      </x:c>
      <x:c r="O161" s="30" t="str">
        <x:v>成果与署名规则待核</x:v>
      </x:c>
      <x:c r="P161" s="30" t="str">
        <x:v>申请书、盖章及提交方式待核</x:v>
      </x:c>
      <x:c r="Q161" s="30" t="str">
        <x:v>https://ailab.gznc.edu.cn/info/1262/1091.htm</x:v>
      </x:c>
      <x:c r="R161" s="30" t="str"/>
      <x:c r="S161" s="30" t="str">
        <x:v>仅继承来源信息/待核</x:v>
      </x:c>
      <x:c r="T161" s="30" t="str">
        <x:v>缺逐附件完成证据/不适用</x:v>
      </x:c>
      <x:c r="U161" s="30" t="str">
        <x:v>2026-10-08（资料核对；并非所有项目重新官网复核）</x:v>
      </x:c>
      <x:c r="V161" s="30" t="str">
        <x:v>关注下一年度开放指南</x:v>
      </x:c>
      <x:c r="W161" s="30" t="str">
        <x:v>申请资格待核</x:v>
      </x:c>
      <x:c r="X161" s="30" t="str">
        <x:v>共有基线v0.8</x:v>
      </x:c>
      <x:c r="Y161" s="30" t="str">
        <x:v>v0.8:M127</x:v>
      </x:c>
      <x:c r="Z161" s="30" t="str">
        <x:v>原编号保留</x:v>
      </x:c>
    </x:row>
    <x:row r="162" ht="36" customHeight="1">
      <x:c r="A162" s="30" t="str">
        <x:v>M094</x:v>
      </x:c>
      <x:c r="B162" s="30" t="str">
        <x:v>开放基金/课题候选</x:v>
      </x:c>
      <x:c r="C162" s="30" t="str">
        <x:v>宁夏大学</x:v>
      </x:c>
      <x:c r="D162" s="30" t="str">
        <x:v>宁夏数学基础学科研究中心</x:v>
      </x:c>
      <x:c r="E162" s="30" t="str">
        <x:v>2025-10-30</x:v>
      </x:c>
      <x:c r="F162" s="30" t="str">
        <x:v>已截止·历史储备</x:v>
      </x:c>
      <x:c r="G162" s="30" t="str">
        <x:v>低</x:v>
      </x:c>
      <x:c r="H162" s="30" t="str">
        <x:v>非线性动力系统；人工智能；生物医学数学建模</x:v>
      </x:c>
      <x:c r="I162" s="30" t="str">
        <x:v>与面上项目科学内容匹配程度依方向摘要判断；正式选题须核指南</x:v>
      </x:c>
      <x:c r="J162" s="30" t="str">
        <x:v>未记录／待核</x:v>
      </x:c>
      <x:c r="K162" s="30" t="str">
        <x:v>申请资格待核</x:v>
      </x:c>
      <x:c r="L162" s="30" t="str">
        <x:v>固定成员合作要求待核</x:v>
      </x:c>
      <x:c r="M162" s="30" t="str">
        <x:v>是否外拨待核</x:v>
      </x:c>
      <x:c r="N162" s="30" t="str">
        <x:v>研究周期待核</x:v>
      </x:c>
      <x:c r="O162" s="30" t="str">
        <x:v>成果与署名规则待核</x:v>
      </x:c>
      <x:c r="P162" s="30" t="str">
        <x:v>申请书、盖章及提交方式待核</x:v>
      </x:c>
      <x:c r="Q162" s="30" t="str">
        <x:v>https://nxmc.nxu.edu.cn/info/1016/1229.htm</x:v>
      </x:c>
      <x:c r="R162" s="30" t="str"/>
      <x:c r="S162" s="30" t="str">
        <x:v>仅继承来源信息/待核</x:v>
      </x:c>
      <x:c r="T162" s="30" t="str">
        <x:v>缺逐附件完成证据/不适用</x:v>
      </x:c>
      <x:c r="U162" s="30" t="str">
        <x:v>2026-10-08（资料核对；并非所有项目重新官网复核）</x:v>
      </x:c>
      <x:c r="V162" s="30" t="str">
        <x:v>关注下一年度开放指南</x:v>
      </x:c>
      <x:c r="W162" s="30" t="str">
        <x:v>申请资格待核</x:v>
      </x:c>
      <x:c r="X162" s="30" t="str">
        <x:v>共有基线v0.8</x:v>
      </x:c>
      <x:c r="Y162" s="30" t="str">
        <x:v>v0.8:M094</x:v>
      </x:c>
      <x:c r="Z162" s="30" t="str">
        <x:v>原编号保留</x:v>
      </x:c>
    </x:row>
    <x:row r="163" ht="36" customHeight="1">
      <x:c r="A163" s="30" t="str">
        <x:v>M022</x:v>
      </x:c>
      <x:c r="B163" s="30" t="str">
        <x:v>开放基金/课题候选</x:v>
      </x:c>
      <x:c r="C163" s="30" t="str">
        <x:v>南京航空航天大学</x:v>
      </x:c>
      <x:c r="D163" s="30" t="str">
        <x:v>航空航天结构力学及控制全国重点实验室</x:v>
      </x:c>
      <x:c r="E163" s="30" t="str">
        <x:v>2025-11-07</x:v>
      </x:c>
      <x:c r="F163" s="30" t="str">
        <x:v>已截止·历史储备</x:v>
      </x:c>
      <x:c r="G163" s="30" t="str">
        <x:v>低</x:v>
      </x:c>
      <x:c r="H163" s="30" t="str">
        <x:v>结构动力学；耦合系统建模；先进控制</x:v>
      </x:c>
      <x:c r="I163" s="30" t="str">
        <x:v>与面上项目科学内容匹配程度依方向摘要判断；正式选题须核指南</x:v>
      </x:c>
      <x:c r="J163" s="30" t="str">
        <x:v>未记录／待核</x:v>
      </x:c>
      <x:c r="K163" s="30" t="str">
        <x:v>申请资格待核</x:v>
      </x:c>
      <x:c r="L163" s="30" t="str">
        <x:v>固定成员合作要求待核</x:v>
      </x:c>
      <x:c r="M163" s="30" t="str">
        <x:v>是否外拨待核</x:v>
      </x:c>
      <x:c r="N163" s="30" t="str">
        <x:v>研究周期待核</x:v>
      </x:c>
      <x:c r="O163" s="30" t="str">
        <x:v>成果与署名规则待核</x:v>
      </x:c>
      <x:c r="P163" s="30" t="str">
        <x:v>申请书、盖章及提交方式待核</x:v>
      </x:c>
      <x:c r="Q163" s="30" t="str">
        <x:v>https://skl.nuaa.edu.cn/2025/1017/c4738a385555/page.htm</x:v>
      </x:c>
      <x:c r="R163" s="30" t="str"/>
      <x:c r="S163" s="30" t="str">
        <x:v>仅继承来源信息/待核</x:v>
      </x:c>
      <x:c r="T163" s="30" t="str">
        <x:v>缺逐附件完成证据/不适用</x:v>
      </x:c>
      <x:c r="U163" s="30" t="str">
        <x:v>2026-10-08（资料核对；并非所有项目重新官网复核）</x:v>
      </x:c>
      <x:c r="V163" s="30" t="str">
        <x:v>关注下一年度开放指南</x:v>
      </x:c>
      <x:c r="W163" s="30" t="str">
        <x:v>申请资格待核</x:v>
      </x:c>
      <x:c r="X163" s="30" t="str">
        <x:v>共有基线v0.8</x:v>
      </x:c>
      <x:c r="Y163" s="30" t="str">
        <x:v>v0.8:M022</x:v>
      </x:c>
      <x:c r="Z163" s="30" t="str">
        <x:v>原编号保留</x:v>
      </x:c>
    </x:row>
    <x:row r="164" ht="36" customHeight="1">
      <x:c r="A164" s="30" t="str">
        <x:v>M173</x:v>
      </x:c>
      <x:c r="B164" s="30" t="str">
        <x:v>开放基金/课题候选</x:v>
      </x:c>
      <x:c r="C164" s="30" t="str">
        <x:v>南京工业大学</x:v>
      </x:c>
      <x:c r="D164" s="30" t="str">
        <x:v>材料化学工程全国重点实验室</x:v>
      </x:c>
      <x:c r="E164" s="30" t="str">
        <x:v>2025-11-10</x:v>
      </x:c>
      <x:c r="F164" s="30" t="str">
        <x:v>已截止·历史储备</x:v>
      </x:c>
      <x:c r="G164" s="30" t="str">
        <x:v>低</x:v>
      </x:c>
      <x:c r="H164" s="30" t="str">
        <x:v>材料多物理建模、过程控制；化工场景限定</x:v>
      </x:c>
      <x:c r="I164" s="30" t="str">
        <x:v>与面上项目科学内容匹配程度依方向摘要判断；正式选题须核指南</x:v>
      </x:c>
      <x:c r="J164" s="30" t="str">
        <x:v>3-10万元</x:v>
      </x:c>
      <x:c r="K164" s="30" t="str">
        <x:v>经费/申报资格/限制：单项约3-10万元；2026年度但申请截止发生于2025年</x:v>
      </x:c>
      <x:c r="L164" s="30" t="str">
        <x:v>固定成员合作要求待核</x:v>
      </x:c>
      <x:c r="M164" s="30" t="str">
        <x:v>是否外拨待核</x:v>
      </x:c>
      <x:c r="N164" s="30" t="str">
        <x:v>研究周期待核</x:v>
      </x:c>
      <x:c r="O164" s="30" t="str">
        <x:v>成果与署名规则待核</x:v>
      </x:c>
      <x:c r="P164" s="30" t="str">
        <x:v>申请书、盖章及提交方式待核</x:v>
      </x:c>
      <x:c r="Q164" s="30" t="str">
        <x:v>https://mce.njtech.edu.cn/info/1058/1987.htm</x:v>
      </x:c>
      <x:c r="R164" s="30" t="str"/>
      <x:c r="S164" s="30" t="str">
        <x:v>仅继承来源信息/待核</x:v>
      </x:c>
      <x:c r="T164" s="30" t="str">
        <x:v>缺逐附件完成证据/不适用</x:v>
      </x:c>
      <x:c r="U164" s="30" t="str">
        <x:v>2026-10-08（资料核对；并非所有项目重新官网复核）</x:v>
      </x:c>
      <x:c r="V164" s="30" t="str">
        <x:v>关注下一年度开放指南</x:v>
      </x:c>
      <x:c r="W164" s="30" t="str">
        <x:v>经费/申报资格/限制：单项约3-10万元；2026年度但申请截止发生于2025年</x:v>
      </x:c>
      <x:c r="X164" s="30" t="str">
        <x:v>共有基线v0.8</x:v>
      </x:c>
      <x:c r="Y164" s="30" t="str">
        <x:v>v0.8:M173</x:v>
      </x:c>
      <x:c r="Z164" s="30" t="str">
        <x:v>原编号保留</x:v>
      </x:c>
    </x:row>
    <x:row r="165" ht="36" customHeight="1">
      <x:c r="A165" s="30" t="str">
        <x:v>M030</x:v>
      </x:c>
      <x:c r="B165" s="30" t="str">
        <x:v>开放基金/课题候选</x:v>
      </x:c>
      <x:c r="C165" s="30" t="str">
        <x:v>湖南大学</x:v>
      </x:c>
      <x:c r="D165" s="30" t="str">
        <x:v>整车先进设计制造技术全国重点实验室</x:v>
      </x:c>
      <x:c r="E165" s="30" t="str">
        <x:v>2025-11-15</x:v>
      </x:c>
      <x:c r="F165" s="30" t="str">
        <x:v>已截止·历史储备</x:v>
      </x:c>
      <x:c r="G165" s="30" t="str">
        <x:v>低</x:v>
      </x:c>
      <x:c r="H165" s="30" t="str">
        <x:v>智能设计、复杂动态系统建模、汽车安全与人机系统；车辆场景限定</x:v>
      </x:c>
      <x:c r="I165" s="30" t="str">
        <x:v>与面上项目科学内容匹配程度依方向摘要判断；正式选题须核指南</x:v>
      </x:c>
      <x:c r="J165" s="30" t="str">
        <x:v>未记录／待核</x:v>
      </x:c>
      <x:c r="K165" s="30" t="str">
        <x:v>主要对211/985高校及科研机构外部科研人员开放；整车场景差异较大</x:v>
      </x:c>
      <x:c r="L165" s="30" t="str">
        <x:v>固定成员合作要求待核</x:v>
      </x:c>
      <x:c r="M165" s="30" t="str">
        <x:v>是否外拨待核</x:v>
      </x:c>
      <x:c r="N165" s="30" t="str">
        <x:v>研究周期待核</x:v>
      </x:c>
      <x:c r="O165" s="30" t="str">
        <x:v>成果与署名规则待核</x:v>
      </x:c>
      <x:c r="P165" s="30" t="str">
        <x:v>申请书、盖章及提交方式待核</x:v>
      </x:c>
      <x:c r="Q165" s="30" t="str">
        <x:v>https://dmvb.hnu.edu.cn/info/1012/2232.htm</x:v>
      </x:c>
      <x:c r="R165" s="30" t="str"/>
      <x:c r="S165" s="30" t="str">
        <x:v>来源档案写明核过官网</x:v>
      </x:c>
      <x:c r="T165" s="30" t="str">
        <x:v>缺逐附件完成证据/不适用</x:v>
      </x:c>
      <x:c r="U165" s="30" t="str">
        <x:v>2026-10-08（资料核对；并非所有项目重新官网复核）</x:v>
      </x:c>
      <x:c r="V165" s="30" t="str">
        <x:v>关注下一年度开放指南</x:v>
      </x:c>
      <x:c r="W165" s="30" t="str">
        <x:v>主要对211/985高校及科研机构外部科研人员开放；整车场景差异较大</x:v>
      </x:c>
      <x:c r="X165" s="30" t="str">
        <x:v>共有基线v0.8</x:v>
      </x:c>
      <x:c r="Y165" s="30" t="str">
        <x:v>v0.8:M030</x:v>
      </x:c>
      <x:c r="Z165" s="30" t="str">
        <x:v>原编号保留</x:v>
      </x:c>
    </x:row>
    <x:row r="166" ht="36" customHeight="1">
      <x:c r="A166" s="30" t="str">
        <x:v>M062</x:v>
      </x:c>
      <x:c r="B166" s="30" t="str">
        <x:v>开放基金/课题候选</x:v>
      </x:c>
      <x:c r="C166" s="30" t="str">
        <x:v>安徽工业大学</x:v>
      </x:c>
      <x:c r="D166" s="30" t="str">
        <x:v>电力电子与运动控制安徽普通高校重点实验室</x:v>
      </x:c>
      <x:c r="E166" s="30" t="str">
        <x:v>2025-11-30</x:v>
      </x:c>
      <x:c r="F166" s="30" t="str">
        <x:v>已截止·历史储备</x:v>
      </x:c>
      <x:c r="G166" s="30" t="str">
        <x:v>低</x:v>
      </x:c>
      <x:c r="H166" s="30" t="str">
        <x:v>运动控制；非线性动态建模；自适应控制</x:v>
      </x:c>
      <x:c r="I166" s="30" t="str">
        <x:v>与面上项目科学内容匹配程度依方向摘要判断；正式选题须核指南</x:v>
      </x:c>
      <x:c r="J166" s="30" t="str">
        <x:v>未记录／待核</x:v>
      </x:c>
      <x:c r="K166" s="30" t="str">
        <x:v>申请资格待核</x:v>
      </x:c>
      <x:c r="L166" s="30" t="str">
        <x:v>固定成员合作要求待核</x:v>
      </x:c>
      <x:c r="M166" s="30" t="str">
        <x:v>是否外拨待核</x:v>
      </x:c>
      <x:c r="N166" s="30" t="str">
        <x:v>研究周期待核</x:v>
      </x:c>
      <x:c r="O166" s="30" t="str">
        <x:v>成果与署名规则待核</x:v>
      </x:c>
      <x:c r="P166" s="30" t="str">
        <x:v>申请书、盖章及提交方式待核</x:v>
      </x:c>
      <x:c r="Q166" s="30" t="str">
        <x:v>https://www.ahut.edu.cn/info/1022/27329.htm</x:v>
      </x:c>
      <x:c r="R166" s="30" t="str"/>
      <x:c r="S166" s="30" t="str">
        <x:v>仅继承来源信息/待核</x:v>
      </x:c>
      <x:c r="T166" s="30" t="str">
        <x:v>缺逐附件完成证据/不适用</x:v>
      </x:c>
      <x:c r="U166" s="30" t="str">
        <x:v>2026-10-08（资料核对；并非所有项目重新官网复核）</x:v>
      </x:c>
      <x:c r="V166" s="30" t="str">
        <x:v>关注下一年度开放指南</x:v>
      </x:c>
      <x:c r="W166" s="30" t="str">
        <x:v>申请资格待核</x:v>
      </x:c>
      <x:c r="X166" s="30" t="str">
        <x:v>共有基线v0.8</x:v>
      </x:c>
      <x:c r="Y166" s="30" t="str">
        <x:v>v0.8:M062</x:v>
      </x:c>
      <x:c r="Z166" s="30" t="str">
        <x:v>原编号保留</x:v>
      </x:c>
    </x:row>
    <x:row r="167" ht="36" customHeight="1">
      <x:c r="A167" s="30" t="str">
        <x:v>M089</x:v>
      </x:c>
      <x:c r="B167" s="30" t="str">
        <x:v>开放基金/课题候选</x:v>
      </x:c>
      <x:c r="C167" s="30" t="str">
        <x:v>贵州大学</x:v>
      </x:c>
      <x:c r="D167" s="30" t="str">
        <x:v>贵州省山地智能农机全省重点实验室</x:v>
      </x:c>
      <x:c r="E167" s="30" t="str">
        <x:v>2025-12-20</x:v>
      </x:c>
      <x:c r="F167" s="30" t="str">
        <x:v>已截止·历史储备</x:v>
      </x:c>
      <x:c r="G167" s="30" t="str">
        <x:v>低</x:v>
      </x:c>
      <x:c r="H167" s="30" t="str">
        <x:v>采收机器人视觉识别；多模态融合；控制</x:v>
      </x:c>
      <x:c r="I167" s="30" t="str">
        <x:v>与面上项目科学内容匹配程度依方向摘要判断；正式选题须核指南</x:v>
      </x:c>
      <x:c r="J167" s="30" t="str">
        <x:v>未记录／待核</x:v>
      </x:c>
      <x:c r="K167" s="30" t="str">
        <x:v>农业机械任务场景</x:v>
      </x:c>
      <x:c r="L167" s="30" t="str">
        <x:v>固定成员合作要求待核</x:v>
      </x:c>
      <x:c r="M167" s="30" t="str">
        <x:v>是否外拨待核</x:v>
      </x:c>
      <x:c r="N167" s="30" t="str">
        <x:v>研究周期待核</x:v>
      </x:c>
      <x:c r="O167" s="30" t="str">
        <x:v>成果与署名规则待核</x:v>
      </x:c>
      <x:c r="P167" s="30" t="str">
        <x:v>申请书、盖章及提交方式待核</x:v>
      </x:c>
      <x:c r="Q167" s="30" t="str">
        <x:v>https://st.gzu.edu.cn/2025/1111/c17883a261119/page.htm</x:v>
      </x:c>
      <x:c r="R167" s="30" t="str">
        <x:v>https://st.gzu.edu.cn/2025/1111/c17883a261119/page.htm</x:v>
      </x:c>
      <x:c r="S167" s="30" t="str">
        <x:v>仅继承来源信息/待核</x:v>
      </x:c>
      <x:c r="T167" s="30" t="str">
        <x:v>缺逐附件完成证据/不适用</x:v>
      </x:c>
      <x:c r="U167" s="30" t="str">
        <x:v>2026-10-08（资料核对；并非所有项目重新官网复核）</x:v>
      </x:c>
      <x:c r="V167" s="30" t="str">
        <x:v>关注下一年度开放指南</x:v>
      </x:c>
      <x:c r="W167" s="30" t="str">
        <x:v>农业机械任务场景</x:v>
      </x:c>
      <x:c r="X167" s="30" t="str">
        <x:v>共有基线v0.8</x:v>
      </x:c>
      <x:c r="Y167" s="30" t="str">
        <x:v>v0.8:M089</x:v>
      </x:c>
      <x:c r="Z167" s="30" t="str">
        <x:v>原编号保留</x:v>
      </x:c>
    </x:row>
    <x:row r="168" ht="36" customHeight="1">
      <x:c r="A168" s="30" t="str">
        <x:v>M036</x:v>
      </x:c>
      <x:c r="B168" s="30" t="str">
        <x:v>开放基金/课题候选</x:v>
      </x:c>
      <x:c r="C168" s="30" t="str">
        <x:v>华东理工大学</x:v>
      </x:c>
      <x:c r="D168" s="30" t="str">
        <x:v>能源化工过程智能制造教育部重点实验室</x:v>
      </x:c>
      <x:c r="E168" s="30" t="str">
        <x:v>2025-12-31</x:v>
      </x:c>
      <x:c r="F168" s="30" t="str">
        <x:v>已截止·历史储备</x:v>
      </x:c>
      <x:c r="G168" s="30" t="str">
        <x:v>低</x:v>
      </x:c>
      <x:c r="H168" s="30" t="str">
        <x:v>多源感知、系统建模、复杂系统优化、智能控制；工业化工场景</x:v>
      </x:c>
      <x:c r="I168" s="30" t="str">
        <x:v>与面上项目科学内容匹配程度依方向摘要判断；正式选题须核指南</x:v>
      </x:c>
      <x:c r="J168" s="30" t="str">
        <x:v>未记录／待核</x:v>
      </x:c>
      <x:c r="K168" s="30" t="str">
        <x:v>申请资格待核</x:v>
      </x:c>
      <x:c r="L168" s="30" t="str">
        <x:v>固定成员合作要求待核</x:v>
      </x:c>
      <x:c r="M168" s="30" t="str">
        <x:v>是否外拨待核</x:v>
      </x:c>
      <x:c r="N168" s="30" t="str">
        <x:v>研究周期待核</x:v>
      </x:c>
      <x:c r="O168" s="30" t="str">
        <x:v>成果与署名规则待核</x:v>
      </x:c>
      <x:c r="P168" s="30" t="str">
        <x:v>申请书、盖章及提交方式待核</x:v>
      </x:c>
      <x:c r="Q168" s="30" t="str">
        <x:v>https://smecp-lab.ecust.edu.cn/2024/1112/c9813a172788/page.htm</x:v>
      </x:c>
      <x:c r="R168" s="30" t="str">
        <x:v>https://smecp-lab.ecust.edu.cn/2024/1112/c9813a172788/page.htm</x:v>
      </x:c>
      <x:c r="S168" s="30" t="str">
        <x:v>仅继承来源信息/待核</x:v>
      </x:c>
      <x:c r="T168" s="30" t="str">
        <x:v>缺逐附件完成证据/不适用</x:v>
      </x:c>
      <x:c r="U168" s="30" t="str">
        <x:v>2026-10-08（资料核对；并非所有项目重新官网复核）</x:v>
      </x:c>
      <x:c r="V168" s="30" t="str">
        <x:v>关注下一年度开放指南</x:v>
      </x:c>
      <x:c r="W168" s="30" t="str">
        <x:v>申请资格待核</x:v>
      </x:c>
      <x:c r="X168" s="30" t="str">
        <x:v>共有基线v0.8</x:v>
      </x:c>
      <x:c r="Y168" s="30" t="str">
        <x:v>v0.8:M036</x:v>
      </x:c>
      <x:c r="Z168" s="30" t="str">
        <x:v>原编号保留</x:v>
      </x:c>
    </x:row>
    <x:row r="169" ht="36" customHeight="1">
      <x:c r="A169" s="30" t="str">
        <x:v>M024</x:v>
      </x:c>
      <x:c r="B169" s="30" t="str">
        <x:v>开放基金/课题候选</x:v>
      </x:c>
      <x:c r="C169" s="30" t="str">
        <x:v>浙江大学</x:v>
      </x:c>
      <x:c r="D169" s="30" t="str">
        <x:v>工业控制技术全国重点实验室</x:v>
      </x:c>
      <x:c r="E169" s="30" t="str">
        <x:v>2026-03-20</x:v>
      </x:c>
      <x:c r="F169" s="30" t="str">
        <x:v>已截止·历史储备</x:v>
      </x:c>
      <x:c r="G169" s="30" t="str">
        <x:v>低</x:v>
      </x:c>
      <x:c r="H169" s="30" t="str">
        <x:v>智能实时优化；复杂系统先进控制；感知与智能无人系统</x:v>
      </x:c>
      <x:c r="I169" s="30" t="str">
        <x:v>与面上项目科学内容匹配程度依方向摘要判断；正式选题须核指南</x:v>
      </x:c>
      <x:c r="J169" s="30" t="str">
        <x:v>未记录／待核</x:v>
      </x:c>
      <x:c r="K169" s="30" t="str">
        <x:v>2026-2027年度；有另外的湖控专项，仅限湖州本地单位</x:v>
      </x:c>
      <x:c r="L169" s="30" t="str">
        <x:v>固定成员合作要求待核</x:v>
      </x:c>
      <x:c r="M169" s="30" t="str">
        <x:v>是否外拨待核</x:v>
      </x:c>
      <x:c r="N169" s="30" t="str">
        <x:v>研究周期待核</x:v>
      </x:c>
      <x:c r="O169" s="30" t="str">
        <x:v>成果与署名规则待核</x:v>
      </x:c>
      <x:c r="P169" s="30" t="str">
        <x:v>申请书、盖章及提交方式待核</x:v>
      </x:c>
      <x:c r="Q169" s="30" t="str">
        <x:v>https://sklict.zju.edu.cn/2025/0311/c85587a3136919/page.htm</x:v>
      </x:c>
      <x:c r="R169" s="30" t="str">
        <x:v>https://sklict.zju.edu.cn/2025/0311/c85587a3136919/page.htm</x:v>
      </x:c>
      <x:c r="S169" s="30" t="str">
        <x:v>来源档案写明核过官网</x:v>
      </x:c>
      <x:c r="T169" s="30" t="str">
        <x:v>缺逐附件完成证据/不适用</x:v>
      </x:c>
      <x:c r="U169" s="30" t="str">
        <x:v>2026-10-08（资料核对；并非所有项目重新官网复核）</x:v>
      </x:c>
      <x:c r="V169" s="30" t="str">
        <x:v>关注下一年度开放指南</x:v>
      </x:c>
      <x:c r="W169" s="30" t="str">
        <x:v>2026-2027年度；有另外的湖控专项，仅限湖州本地单位</x:v>
      </x:c>
      <x:c r="X169" s="30" t="str">
        <x:v>共有基线v0.8</x:v>
      </x:c>
      <x:c r="Y169" s="30" t="str">
        <x:v>v0.8:M024</x:v>
      </x:c>
      <x:c r="Z169" s="30" t="str">
        <x:v>原编号保留</x:v>
      </x:c>
    </x:row>
    <x:row r="170" ht="36" customHeight="1">
      <x:c r="A170" s="30" t="str">
        <x:v>M037</x:v>
      </x:c>
      <x:c r="B170" s="30" t="str">
        <x:v>开放基金/课题候选</x:v>
      </x:c>
      <x:c r="C170" s="30" t="str">
        <x:v>复旦大学</x:v>
      </x:c>
      <x:c r="D170" s="30" t="str">
        <x:v>计算神经科学与类脑智能教育部重点实验室</x:v>
      </x:c>
      <x:c r="E170" s="30" t="str">
        <x:v>2026-04-10</x:v>
      </x:c>
      <x:c r="F170" s="30" t="str">
        <x:v>已截止·历史储备</x:v>
      </x:c>
      <x:c r="G170" s="30" t="str">
        <x:v>低</x:v>
      </x:c>
      <x:c r="H170" s="30" t="str">
        <x:v>类脑智能学习；认知决策；智能计算方法</x:v>
      </x:c>
      <x:c r="I170" s="30" t="str">
        <x:v>与面上项目科学内容匹配程度依方向摘要判断；正式选题须核指南</x:v>
      </x:c>
      <x:c r="J170" s="30" t="str">
        <x:v>2-3万元</x:v>
      </x:c>
      <x:c r="K170" s="30" t="str">
        <x:v>2-3万元；需共同署名；与机器人方法间接相关</x:v>
      </x:c>
      <x:c r="L170" s="30" t="str">
        <x:v>固定成员合作要求待核</x:v>
      </x:c>
      <x:c r="M170" s="30" t="str">
        <x:v>是否外拨待核</x:v>
      </x:c>
      <x:c r="N170" s="30" t="str">
        <x:v>研究周期待核</x:v>
      </x:c>
      <x:c r="O170" s="30" t="str">
        <x:v>成果与署名规则待核</x:v>
      </x:c>
      <x:c r="P170" s="30" t="str">
        <x:v>申请书、盖章及提交方式待核</x:v>
      </x:c>
      <x:c r="Q170" s="30" t="str">
        <x:v>https://cnbi.fudan.edu.cn/info/1046/2720.htm</x:v>
      </x:c>
      <x:c r="R170" s="30" t="str"/>
      <x:c r="S170" s="30" t="str">
        <x:v>来源档案写明核过官网</x:v>
      </x:c>
      <x:c r="T170" s="30" t="str">
        <x:v>缺逐附件完成证据/不适用</x:v>
      </x:c>
      <x:c r="U170" s="30" t="str">
        <x:v>2026-10-08（资料核对；并非所有项目重新官网复核）</x:v>
      </x:c>
      <x:c r="V170" s="30" t="str">
        <x:v>关注下一年度开放指南</x:v>
      </x:c>
      <x:c r="W170" s="30" t="str">
        <x:v>2-3万元；需共同署名；与机器人方法间接相关</x:v>
      </x:c>
      <x:c r="X170" s="30" t="str">
        <x:v>共有基线v0.8</x:v>
      </x:c>
      <x:c r="Y170" s="30" t="str">
        <x:v>v0.8:M037</x:v>
      </x:c>
      <x:c r="Z170" s="30" t="str">
        <x:v>原编号保留</x:v>
      </x:c>
    </x:row>
    <x:row r="171" ht="36" customHeight="1">
      <x:c r="A171" s="30" t="str">
        <x:v>M170</x:v>
      </x:c>
      <x:c r="B171" s="30" t="str">
        <x:v>开放基金/课题候选</x:v>
      </x:c>
      <x:c r="C171" s="30" t="str">
        <x:v>南京大学</x:v>
      </x:c>
      <x:c r="D171" s="30" t="str">
        <x:v>关键地球物质循环与成矿全国重点实验室</x:v>
      </x:c>
      <x:c r="E171" s="30" t="str">
        <x:v>2026-04-15</x:v>
      </x:c>
      <x:c r="F171" s="30" t="str">
        <x:v>已截止·历史储备</x:v>
      </x:c>
      <x:c r="G171" s="30" t="str">
        <x:v>低</x:v>
      </x:c>
      <x:c r="H171" s="30" t="str">
        <x:v>数据智能表征、地质系统建模；与超声机器人研究对象相差较大</x:v>
      </x:c>
      <x:c r="I171" s="30" t="str">
        <x:v>与面上项目科学内容匹配程度依方向摘要判断；正式选题须核指南</x:v>
      </x:c>
      <x:c r="J171" s="30" t="str">
        <x:v>10万元</x:v>
      </x:c>
      <x:c r="K171" s="30" t="str">
        <x:v>经费/申报资格/限制：15-20项，均额约10万元；地质矿产方向；已公布评审结果</x:v>
      </x:c>
      <x:c r="L171" s="30" t="str">
        <x:v>固定成员合作要求待核</x:v>
      </x:c>
      <x:c r="M171" s="30" t="str">
        <x:v>是否外拨待核</x:v>
      </x:c>
      <x:c r="N171" s="30" t="str">
        <x:v>研究周期待核</x:v>
      </x:c>
      <x:c r="O171" s="30" t="str">
        <x:v>成果与署名规则待核</x:v>
      </x:c>
      <x:c r="P171" s="30" t="str">
        <x:v>申请书、盖章及提交方式待核</x:v>
      </x:c>
      <x:c r="Q171" s="30" t="str">
        <x:v>https://lamd.nju.edu.cn/info/1021/1223.htm</x:v>
      </x:c>
      <x:c r="R171" s="30" t="str"/>
      <x:c r="S171" s="30" t="str">
        <x:v>仅继承来源信息/待核</x:v>
      </x:c>
      <x:c r="T171" s="30" t="str">
        <x:v>缺逐附件完成证据/不适用</x:v>
      </x:c>
      <x:c r="U171" s="30" t="str">
        <x:v>2026-10-08（资料核对；并非所有项目重新官网复核）</x:v>
      </x:c>
      <x:c r="V171" s="30" t="str">
        <x:v>关注下一年度开放指南</x:v>
      </x:c>
      <x:c r="W171" s="30" t="str">
        <x:v>经费/申报资格/限制：15-20项，均额约10万元；地质矿产方向；已公布评审结果</x:v>
      </x:c>
      <x:c r="X171" s="30" t="str">
        <x:v>共有基线v0.8</x:v>
      </x:c>
      <x:c r="Y171" s="30" t="str">
        <x:v>v0.8:M170</x:v>
      </x:c>
      <x:c r="Z171" s="30" t="str">
        <x:v>原编号保留</x:v>
      </x:c>
    </x:row>
    <x:row r="172" ht="36" customHeight="1">
      <x:c r="A172" s="30" t="str">
        <x:v>M059</x:v>
      </x:c>
      <x:c r="B172" s="30" t="str">
        <x:v>开放基金/课题候选</x:v>
      </x:c>
      <x:c r="C172" s="30" t="str">
        <x:v>四川文理学院</x:v>
      </x:c>
      <x:c r="D172" s="30" t="str">
        <x:v>智能无人系统技术四川省高等学校重点实验室</x:v>
      </x:c>
      <x:c r="E172" s="30" t="str">
        <x:v>2026-04-30</x:v>
      </x:c>
      <x:c r="F172" s="30" t="str">
        <x:v>已截止·历史储备</x:v>
      </x:c>
      <x:c r="G172" s="30" t="str">
        <x:v>低</x:v>
      </x:c>
      <x:c r="H172" s="30" t="str">
        <x:v>多源感知；高精度运动控制；轨迹规划；系统优化</x:v>
      </x:c>
      <x:c r="I172" s="30" t="str">
        <x:v>与面上项目科学内容匹配程度依方向摘要判断；正式选题须核指南</x:v>
      </x:c>
      <x:c r="J172" s="30" t="str">
        <x:v>未记录／待核</x:v>
      </x:c>
      <x:c r="K172" s="30" t="str">
        <x:v>要求工程应用证明；偏无人系统</x:v>
      </x:c>
      <x:c r="L172" s="30" t="str">
        <x:v>固定成员合作要求待核</x:v>
      </x:c>
      <x:c r="M172" s="30" t="str">
        <x:v>是否外拨待核</x:v>
      </x:c>
      <x:c r="N172" s="30" t="str">
        <x:v>研究周期待核</x:v>
      </x:c>
      <x:c r="O172" s="30" t="str">
        <x:v>成果与署名规则待核</x:v>
      </x:c>
      <x:c r="P172" s="30" t="str">
        <x:v>申请书、盖章及提交方式待核</x:v>
      </x:c>
      <x:c r="Q172" s="30" t="str">
        <x:v>https://jqr.sasu.edu.cn/info/1009/1062.htm</x:v>
      </x:c>
      <x:c r="R172" s="30" t="str">
        <x:v>https://znwrxt.sasu.edu.cn/info/1009/1062.htm</x:v>
      </x:c>
      <x:c r="S172" s="30" t="str">
        <x:v>来源档案写明核过官网</x:v>
      </x:c>
      <x:c r="T172" s="30" t="str">
        <x:v>缺逐附件完成证据/不适用</x:v>
      </x:c>
      <x:c r="U172" s="30" t="str">
        <x:v>2026-10-08（资料核对；并非所有项目重新官网复核）</x:v>
      </x:c>
      <x:c r="V172" s="30" t="str">
        <x:v>关注下一年度开放指南</x:v>
      </x:c>
      <x:c r="W172" s="30" t="str">
        <x:v>要求工程应用证明；偏无人系统</x:v>
      </x:c>
      <x:c r="X172" s="30" t="str">
        <x:v>共有基线v0.8</x:v>
      </x:c>
      <x:c r="Y172" s="30" t="str">
        <x:v>v0.8:M059</x:v>
      </x:c>
      <x:c r="Z172" s="30" t="str">
        <x:v>原编号保留</x:v>
      </x:c>
    </x:row>
    <x:row r="173" ht="36" customHeight="1">
      <x:c r="A173" s="30" t="str">
        <x:v>M005</x:v>
      </x:c>
      <x:c r="B173" s="30" t="str">
        <x:v>开放基金/课题候选</x:v>
      </x:c>
      <x:c r="C173" s="30" t="str">
        <x:v>中国科学院脑科学与智能技术卓越创新中心</x:v>
      </x:c>
      <x:c r="D173" s="30" t="str">
        <x:v>脑认知与类脑智能全国重点实验室</x:v>
      </x:c>
      <x:c r="E173" s="30" t="str">
        <x:v>2026-05-06</x:v>
      </x:c>
      <x:c r="F173" s="30" t="str">
        <x:v>已截止·历史储备</x:v>
      </x:c>
      <x:c r="G173" s="30" t="str">
        <x:v>低</x:v>
      </x:c>
      <x:c r="H173" s="30" t="str">
        <x:v>类脑/具身智能；学习算法；智能决策</x:v>
      </x:c>
      <x:c r="I173" s="30" t="str">
        <x:v>与面上项目科学内容匹配程度依方向摘要判断；正式选题须核指南</x:v>
      </x:c>
      <x:c r="J173" s="30" t="str">
        <x:v>未记录／待核</x:v>
      </x:c>
      <x:c r="K173" s="30" t="str">
        <x:v>更多偏理论</x:v>
      </x:c>
      <x:c r="L173" s="30" t="str">
        <x:v>固定成员合作要求待核</x:v>
      </x:c>
      <x:c r="M173" s="30" t="str">
        <x:v>是否外拨待核</x:v>
      </x:c>
      <x:c r="N173" s="30" t="str">
        <x:v>研究周期待核</x:v>
      </x:c>
      <x:c r="O173" s="30" t="str">
        <x:v>成果与署名规则待核</x:v>
      </x:c>
      <x:c r="P173" s="30" t="str">
        <x:v>申请书、盖章及提交方式待核</x:v>
      </x:c>
      <x:c r="Q173" s="30" t="str">
        <x:v>https://www.cebsit.cas.cn/nrzylnznzdsys/kfkt/202604/t20260407_8182418.html</x:v>
      </x:c>
      <x:c r="R173" s="30" t="str"/>
      <x:c r="S173" s="30" t="str">
        <x:v>仅继承来源信息/待核</x:v>
      </x:c>
      <x:c r="T173" s="30" t="str">
        <x:v>缺逐附件完成证据/不适用</x:v>
      </x:c>
      <x:c r="U173" s="30" t="str">
        <x:v>2026-10-08（资料核对；并非所有项目重新官网复核）</x:v>
      </x:c>
      <x:c r="V173" s="30" t="str">
        <x:v>关注下一年度开放指南</x:v>
      </x:c>
      <x:c r="W173" s="30" t="str">
        <x:v>更多偏理论</x:v>
      </x:c>
      <x:c r="X173" s="30" t="str">
        <x:v>共有基线v0.8</x:v>
      </x:c>
      <x:c r="Y173" s="30" t="str">
        <x:v>v0.8:M005</x:v>
      </x:c>
      <x:c r="Z173" s="30" t="str">
        <x:v>原编号保留</x:v>
      </x:c>
    </x:row>
    <x:row r="174" ht="36" customHeight="1">
      <x:c r="A174" s="30" t="str">
        <x:v>M168</x:v>
      </x:c>
      <x:c r="B174" s="30" t="str">
        <x:v>开放基金/课题候选</x:v>
      </x:c>
      <x:c r="C174" s="30" t="str">
        <x:v>东南大学</x:v>
      </x:c>
      <x:c r="D174" s="30" t="str">
        <x:v>能源热转换及其过程测控教育部重点实验室</x:v>
      </x:c>
      <x:c r="E174" s="30" t="str">
        <x:v>2026-05-15</x:v>
      </x:c>
      <x:c r="F174" s="30" t="str">
        <x:v>已截止·历史储备</x:v>
      </x:c>
      <x:c r="G174" s="30" t="str">
        <x:v>低</x:v>
      </x:c>
      <x:c r="H174" s="30" t="str">
        <x:v>复杂系统过程测控、数据驱动调节；热能应用限定</x:v>
      </x:c>
      <x:c r="I174" s="30" t="str">
        <x:v>与面上项目科学内容匹配程度依方向摘要判断；正式选题须核指南</x:v>
      </x:c>
      <x:c r="J174" s="30" t="str">
        <x:v>2万元</x:v>
      </x:c>
      <x:c r="K174" s="30" t="str">
        <x:v>经费/申报资格/限制：资助约2万元，能源/热转换对象限定</x:v>
      </x:c>
      <x:c r="L174" s="30" t="str">
        <x:v>固定成员合作要求待核</x:v>
      </x:c>
      <x:c r="M174" s="30" t="str">
        <x:v>是否外拨待核</x:v>
      </x:c>
      <x:c r="N174" s="30" t="str">
        <x:v>研究周期待核</x:v>
      </x:c>
      <x:c r="O174" s="30" t="str">
        <x:v>成果与署名规则待核</x:v>
      </x:c>
      <x:c r="P174" s="30" t="str">
        <x:v>申请书、盖章及提交方式待核</x:v>
      </x:c>
      <x:c r="Q174" s="30" t="str">
        <x:v>https://etcc.seu.edu.cn/2026/0428/c7052a566005/page.htm</x:v>
      </x:c>
      <x:c r="R174" s="30" t="str"/>
      <x:c r="S174" s="30" t="str">
        <x:v>仅继承来源信息/待核</x:v>
      </x:c>
      <x:c r="T174" s="30" t="str">
        <x:v>缺逐附件完成证据/不适用</x:v>
      </x:c>
      <x:c r="U174" s="30" t="str">
        <x:v>2026-10-08（资料核对；并非所有项目重新官网复核）</x:v>
      </x:c>
      <x:c r="V174" s="30" t="str">
        <x:v>关注下一年度开放指南</x:v>
      </x:c>
      <x:c r="W174" s="30" t="str">
        <x:v>经费/申报资格/限制：资助约2万元，能源/热转换对象限定</x:v>
      </x:c>
      <x:c r="X174" s="30" t="str">
        <x:v>共有基线v0.8</x:v>
      </x:c>
      <x:c r="Y174" s="30" t="str">
        <x:v>v0.8:M168</x:v>
      </x:c>
      <x:c r="Z174" s="30" t="str">
        <x:v>原编号保留</x:v>
      </x:c>
    </x:row>
    <x:row r="175" ht="36" customHeight="1">
      <x:c r="A175" s="30" t="str">
        <x:v>M178</x:v>
      </x:c>
      <x:c r="B175" s="30" t="str">
        <x:v>开放基金/课题候选</x:v>
      </x:c>
      <x:c r="C175" s="30" t="str">
        <x:v>深圳大学</x:v>
      </x:c>
      <x:c r="D175" s="30" t="str">
        <x:v>射频异质异构集成全国重点实验室</x:v>
      </x:c>
      <x:c r="E175" s="30" t="str">
        <x:v>2026-05-17</x:v>
      </x:c>
      <x:c r="F175" s="30" t="str">
        <x:v>已截止·历史储备</x:v>
      </x:c>
      <x:c r="G175" s="30" t="str">
        <x:v>低</x:v>
      </x:c>
      <x:c r="H175" s="30" t="str">
        <x:v>多物理场设计、测试表征、射频技术；与超声接触控制匹配低</x:v>
      </x:c>
      <x:c r="I175" s="30" t="str">
        <x:v>与面上项目科学内容匹配程度依方向摘要判断；正式选题须核指南</x:v>
      </x:c>
      <x:c r="J175" s="30" t="str">
        <x:v>未记录／待核</x:v>
      </x:c>
      <x:c r="K175" s="30" t="str">
        <x:v>经费/申报资格/限制：面向国内外学者，需双版申报材料及论文署名规定</x:v>
      </x:c>
      <x:c r="L175" s="30" t="str">
        <x:v>固定成员合作要求待核</x:v>
      </x:c>
      <x:c r="M175" s="30" t="str">
        <x:v>是否外拨待核</x:v>
      </x:c>
      <x:c r="N175" s="30" t="str">
        <x:v>研究周期待核</x:v>
      </x:c>
      <x:c r="O175" s="30" t="str">
        <x:v>成果与署名规则待核</x:v>
      </x:c>
      <x:c r="P175" s="30" t="str">
        <x:v>申请书、盖章及提交方式待核</x:v>
      </x:c>
      <x:c r="Q175" s="30" t="str">
        <x:v>https://hi-rfskl.szu.edu.cn/info/1032/1875.htm</x:v>
      </x:c>
      <x:c r="R175" s="30" t="str"/>
      <x:c r="S175" s="30" t="str">
        <x:v>仅继承来源信息/待核</x:v>
      </x:c>
      <x:c r="T175" s="30" t="str">
        <x:v>缺逐附件完成证据/不适用</x:v>
      </x:c>
      <x:c r="U175" s="30" t="str">
        <x:v>2026-10-08（资料核对；并非所有项目重新官网复核）</x:v>
      </x:c>
      <x:c r="V175" s="30" t="str">
        <x:v>关注下一年度开放指南</x:v>
      </x:c>
      <x:c r="W175" s="30" t="str">
        <x:v>经费/申报资格/限制：面向国内外学者，需双版申报材料及论文署名规定</x:v>
      </x:c>
      <x:c r="X175" s="30" t="str">
        <x:v>共有基线v0.8</x:v>
      </x:c>
      <x:c r="Y175" s="30" t="str">
        <x:v>v0.8:M178</x:v>
      </x:c>
      <x:c r="Z175" s="30" t="str">
        <x:v>原编号保留</x:v>
      </x:c>
    </x:row>
    <x:row r="176" ht="36" customHeight="1">
      <x:c r="A176" s="30" t="str">
        <x:v>M124</x:v>
      </x:c>
      <x:c r="B176" s="30" t="str">
        <x:v>开放基金/课题候选</x:v>
      </x:c>
      <x:c r="C176" s="30" t="str">
        <x:v>西华大学</x:v>
      </x:c>
      <x:c r="D176" s="30" t="str">
        <x:v>汽车测控与安全四川省重点实验室</x:v>
      </x:c>
      <x:c r="E176" s="30" t="str">
        <x:v>2026-05-20</x:v>
      </x:c>
      <x:c r="F176" s="30" t="str">
        <x:v>已截止·历史储备</x:v>
      </x:c>
      <x:c r="G176" s="30" t="str">
        <x:v>低</x:v>
      </x:c>
      <x:c r="H176" s="30" t="str">
        <x:v>智能测控、系统建模、控制；汽车应用限定</x:v>
      </x:c>
      <x:c r="I176" s="30" t="str">
        <x:v>与面上项目科学内容匹配程度依方向摘要判断；正式选题须核指南</x:v>
      </x:c>
      <x:c r="J176" s="30" t="str">
        <x:v>未记录／待核</x:v>
      </x:c>
      <x:c r="K176" s="30" t="str">
        <x:v>申请资格待核</x:v>
      </x:c>
      <x:c r="L176" s="30" t="str">
        <x:v>固定成员合作要求待核</x:v>
      </x:c>
      <x:c r="M176" s="30" t="str">
        <x:v>是否外拨待核</x:v>
      </x:c>
      <x:c r="N176" s="30" t="str">
        <x:v>研究周期待核</x:v>
      </x:c>
      <x:c r="O176" s="30" t="str">
        <x:v>成果与署名规则待核</x:v>
      </x:c>
      <x:c r="P176" s="30" t="str">
        <x:v>申请书、盖章及提交方式待核</x:v>
      </x:c>
      <x:c r="Q176" s="30" t="str">
        <x:v>https://qc.xhu.edu.cn/a7/f0/c692a239600/page.htm</x:v>
      </x:c>
      <x:c r="R176" s="30" t="str"/>
      <x:c r="S176" s="30" t="str">
        <x:v>仅继承来源信息/待核</x:v>
      </x:c>
      <x:c r="T176" s="30" t="str">
        <x:v>缺逐附件完成证据/不适用</x:v>
      </x:c>
      <x:c r="U176" s="30" t="str">
        <x:v>2026-10-08（资料核对；并非所有项目重新官网复核）</x:v>
      </x:c>
      <x:c r="V176" s="30" t="str">
        <x:v>关注下一年度开放指南</x:v>
      </x:c>
      <x:c r="W176" s="30" t="str">
        <x:v>申请资格待核</x:v>
      </x:c>
      <x:c r="X176" s="30" t="str">
        <x:v>共有基线v0.8</x:v>
      </x:c>
      <x:c r="Y176" s="30" t="str">
        <x:v>v0.8:M124</x:v>
      </x:c>
      <x:c r="Z176" s="30" t="str">
        <x:v>原编号保留；共享来源不可当两个资金计划</x:v>
      </x:c>
    </x:row>
    <x:row r="177" ht="36" customHeight="1">
      <x:c r="A177" s="30" t="str">
        <x:v>M125</x:v>
      </x:c>
      <x:c r="B177" s="30" t="str">
        <x:v>开放基金/课题候选</x:v>
      </x:c>
      <x:c r="C177" s="30" t="str">
        <x:v>西华大学</x:v>
      </x:c>
      <x:c r="D177" s="30" t="str">
        <x:v>新能源汽车智能控制与仿真测试技术四川省工程研究中心</x:v>
      </x:c>
      <x:c r="E177" s="30" t="str">
        <x:v>2026-05-20</x:v>
      </x:c>
      <x:c r="F177" s="30" t="str">
        <x:v>已截止·历史储备</x:v>
      </x:c>
      <x:c r="G177" s="30" t="str">
        <x:v>低</x:v>
      </x:c>
      <x:c r="H177" s="30" t="str">
        <x:v>智能控制、动态仿真、测试技术；汽车应用限定</x:v>
      </x:c>
      <x:c r="I177" s="30" t="str">
        <x:v>与面上项目科学内容匹配程度依方向摘要判断；正式选题须核指南</x:v>
      </x:c>
      <x:c r="J177" s="30" t="str">
        <x:v>未记录／待核</x:v>
      </x:c>
      <x:c r="K177" s="30" t="str">
        <x:v>申请资格待核</x:v>
      </x:c>
      <x:c r="L177" s="30" t="str">
        <x:v>固定成员合作要求待核</x:v>
      </x:c>
      <x:c r="M177" s="30" t="str">
        <x:v>是否外拨待核</x:v>
      </x:c>
      <x:c r="N177" s="30" t="str">
        <x:v>研究周期待核</x:v>
      </x:c>
      <x:c r="O177" s="30" t="str">
        <x:v>成果与署名规则待核</x:v>
      </x:c>
      <x:c r="P177" s="30" t="str">
        <x:v>申请书、盖章及提交方式待核</x:v>
      </x:c>
      <x:c r="Q177" s="30" t="str">
        <x:v>https://qc.xhu.edu.cn/a7/f0/c692a239600/page.htm</x:v>
      </x:c>
      <x:c r="R177" s="30" t="str"/>
      <x:c r="S177" s="30" t="str">
        <x:v>仅继承来源信息/待核</x:v>
      </x:c>
      <x:c r="T177" s="30" t="str">
        <x:v>缺逐附件完成证据/不适用</x:v>
      </x:c>
      <x:c r="U177" s="30" t="str">
        <x:v>2026-10-08（资料核对；并非所有项目重新官网复核）</x:v>
      </x:c>
      <x:c r="V177" s="30" t="str">
        <x:v>关注下一年度开放指南</x:v>
      </x:c>
      <x:c r="W177" s="30" t="str">
        <x:v>申请资格待核</x:v>
      </x:c>
      <x:c r="X177" s="30" t="str">
        <x:v>共有基线v0.8</x:v>
      </x:c>
      <x:c r="Y177" s="30" t="str">
        <x:v>v0.8:M125</x:v>
      </x:c>
      <x:c r="Z177" s="30" t="str">
        <x:v>原编号保留；共享来源不可当两个资金计划</x:v>
      </x:c>
    </x:row>
    <x:row r="178" ht="36" customHeight="1">
      <x:c r="A178" s="30" t="str">
        <x:v>M134</x:v>
      </x:c>
      <x:c r="B178" s="30" t="str">
        <x:v>开放基金/课题候选</x:v>
      </x:c>
      <x:c r="C178" s="30" t="str">
        <x:v>陕西·西北工业大学</x:v>
      </x:c>
      <x:c r="D178" s="30" t="str">
        <x:v>凝固技术全国重点实验室</x:v>
      </x:c>
      <x:c r="E178" s="30" t="str">
        <x:v>2026-05-20</x:v>
      </x:c>
      <x:c r="F178" s="30" t="str">
        <x:v>已截止·历史储备</x:v>
      </x:c>
      <x:c r="G178" s="30" t="str">
        <x:v>低</x:v>
      </x:c>
      <x:c r="H178" s="30" t="str">
        <x:v>方向/边界：凝固过程动态建模、数字集成与智能装备；与医疗机器人的研究对象差异极大</x:v>
      </x:c>
      <x:c r="I178" s="30" t="str">
        <x:v>与面上项目科学内容匹配程度依方向摘要判断；正式选题须核指南</x:v>
      </x:c>
      <x:c r="J178" s="30" t="str">
        <x:v>10—15万元/重点20—30万元</x:v>
      </x:c>
      <x:c r="K178" s="30" t="str">
        <x:v>资助/资格/证据：探索10—15万元/重点20—30万元，内容须为凝固技术；广泛发现后暂列方法弱相关，不作为优先申报</x:v>
      </x:c>
      <x:c r="L178" s="30" t="str">
        <x:v>固定成员合作要求待核</x:v>
      </x:c>
      <x:c r="M178" s="30" t="str">
        <x:v>是否外拨待核</x:v>
      </x:c>
      <x:c r="N178" s="30" t="str">
        <x:v>研究周期待核</x:v>
      </x:c>
      <x:c r="O178" s="30" t="str">
        <x:v>成果与署名规则待核</x:v>
      </x:c>
      <x:c r="P178" s="30" t="str">
        <x:v>申请书、盖章及提交方式待核</x:v>
      </x:c>
      <x:c r="Q178" s="30" t="str">
        <x:v>https://sklsp.nwpu.edu.cn/info/2041/12902.htm</x:v>
      </x:c>
      <x:c r="R178" s="30" t="str"/>
      <x:c r="S178" s="30" t="str">
        <x:v>仅继承来源信息/待核</x:v>
      </x:c>
      <x:c r="T178" s="30" t="str">
        <x:v>缺逐附件完成证据/不适用</x:v>
      </x:c>
      <x:c r="U178" s="30" t="str">
        <x:v>2026-10-08（资料核对；并非所有项目重新官网复核）</x:v>
      </x:c>
      <x:c r="V178" s="30" t="str">
        <x:v>关注下一年度开放指南</x:v>
      </x:c>
      <x:c r="W178" s="30" t="str">
        <x:v>资助/资格/证据：探索10—15万元/重点20—30万元，内容须为凝固技术；广泛发现后暂列方法弱相关，不作为优先申报</x:v>
      </x:c>
      <x:c r="X178" s="30" t="str">
        <x:v>共有基线v0.8</x:v>
      </x:c>
      <x:c r="Y178" s="30" t="str">
        <x:v>v0.8:M134</x:v>
      </x:c>
      <x:c r="Z178" s="30" t="str">
        <x:v>原编号保留</x:v>
      </x:c>
    </x:row>
    <x:row r="179" ht="36" customHeight="1">
      <x:c r="A179" s="30" t="str">
        <x:v>M139</x:v>
      </x:c>
      <x:c r="B179" s="30" t="str">
        <x:v>开放基金/课题候选</x:v>
      </x:c>
      <x:c r="C179" s="30" t="str">
        <x:v>河南·郑州佛光发电设备股份有限公司/郑州大学</x:v>
      </x:c>
      <x:c r="D179" s="30" t="str">
        <x:v>河南省金属燃料电池重点实验室</x:v>
      </x:c>
      <x:c r="E179" s="30" t="str">
        <x:v>2026-05-20</x:v>
      </x:c>
      <x:c r="F179" s="30" t="str">
        <x:v>已截止·历史储备</x:v>
      </x:c>
      <x:c r="G179" s="30" t="str">
        <x:v>低</x:v>
      </x:c>
      <x:c r="H179" s="30" t="str">
        <x:v>方向/边界：智能控制、系统优化等属于弱方法交集；主体是金属燃料电池与能源系统，现有机器人超声课题不宜直接申报</x:v>
      </x:c>
      <x:c r="I179" s="30" t="str">
        <x:v>与面上项目科学内容匹配程度依方向摘要判断；正式选题须核指南</x:v>
      </x:c>
      <x:c r="J179" s="30" t="str">
        <x:v>5—10万元/2年</x:v>
      </x:c>
      <x:c r="K179" s="30" t="str">
        <x:v>资助/资格/证据：5—10万元/2年；博士（含在读）或高级职称可申请；依托单位及合作企业官网/校方科管平台2026正式通知；保留为宽泛发现后低相关边界案例</x:v>
      </x:c>
      <x:c r="L179" s="30" t="str">
        <x:v>固定成员合作要求待核</x:v>
      </x:c>
      <x:c r="M179" s="30" t="str">
        <x:v>是否外拨待核</x:v>
      </x:c>
      <x:c r="N179" s="30" t="str">
        <x:v>研究周期待核</x:v>
      </x:c>
      <x:c r="O179" s="30" t="str">
        <x:v>成果与署名规则待核</x:v>
      </x:c>
      <x:c r="P179" s="30" t="str">
        <x:v>申请书、盖章及提交方式待核</x:v>
      </x:c>
      <x:c r="Q179" s="30" t="str">
        <x:v>https://www7.zzu.edu.cn/kjc/info/1066/4407.htm</x:v>
      </x:c>
      <x:c r="R179" s="30" t="str"/>
      <x:c r="S179" s="30" t="str">
        <x:v>仅继承来源信息/待核</x:v>
      </x:c>
      <x:c r="T179" s="30" t="str">
        <x:v>缺逐附件完成证据/不适用</x:v>
      </x:c>
      <x:c r="U179" s="30" t="str">
        <x:v>2026-10-08（资料核对；并非所有项目重新官网复核）</x:v>
      </x:c>
      <x:c r="V179" s="30" t="str">
        <x:v>关注下一年度开放指南</x:v>
      </x:c>
      <x:c r="W179" s="30" t="str">
        <x:v>资助/资格/证据：5—10万元/2年；博士（含在读）或高级职称可申请；依托单位及合作企业官网/校方科管平台2026正式通知；保留为宽泛发现后低相关边界案例</x:v>
      </x:c>
      <x:c r="X179" s="30" t="str">
        <x:v>共有基线v0.8</x:v>
      </x:c>
      <x:c r="Y179" s="30" t="str">
        <x:v>v0.8:M139</x:v>
      </x:c>
      <x:c r="Z179" s="30" t="str">
        <x:v>原编号保留</x:v>
      </x:c>
    </x:row>
    <x:row r="180" ht="36" customHeight="1">
      <x:c r="A180" s="30" t="str">
        <x:v>M023</x:v>
      </x:c>
      <x:c r="B180" s="30" t="str">
        <x:v>开放基金/课题候选</x:v>
      </x:c>
      <x:c r="C180" s="30" t="str">
        <x:v>徐工集团</x:v>
      </x:c>
      <x:c r="D180" s="30" t="str">
        <x:v>高端工程机械智能制造全国重点实验室</x:v>
      </x:c>
      <x:c r="E180" s="30" t="str">
        <x:v>2026-05-22</x:v>
      </x:c>
      <x:c r="F180" s="30" t="str">
        <x:v>已截止·历史储备</x:v>
      </x:c>
      <x:c r="G180" s="30" t="str">
        <x:v>低</x:v>
      </x:c>
      <x:c r="H180" s="30" t="str">
        <x:v>智能工程机械；多源感知；高端装备运动控制与优化</x:v>
      </x:c>
      <x:c r="I180" s="30" t="str">
        <x:v>与面上项目科学内容匹配程度依方向摘要判断；正式选题须核指南</x:v>
      </x:c>
      <x:c r="J180" s="30" t="str">
        <x:v>未记录／待核</x:v>
      </x:c>
      <x:c r="K180" s="30" t="str">
        <x:v>按固定指南研究内容和成果考核；工程机械应用约束</x:v>
      </x:c>
      <x:c r="L180" s="30" t="str">
        <x:v>固定成员合作要求待核</x:v>
      </x:c>
      <x:c r="M180" s="30" t="str">
        <x:v>是否外拨待核</x:v>
      </x:c>
      <x:c r="N180" s="30" t="str">
        <x:v>研究周期待核</x:v>
      </x:c>
      <x:c r="O180" s="30" t="str">
        <x:v>成果与署名规则待核</x:v>
      </x:c>
      <x:c r="P180" s="30" t="str">
        <x:v>申请书、盖章及提交方式待核</x:v>
      </x:c>
      <x:c r="Q180" s="30" t="str">
        <x:v>https://keyanchu.syuct.edu.cn/info/1028/2043.htm</x:v>
      </x:c>
      <x:c r="R180" s="30" t="str"/>
      <x:c r="S180" s="30" t="str">
        <x:v>来源档案写明核过官网</x:v>
      </x:c>
      <x:c r="T180" s="30" t="str">
        <x:v>缺逐附件完成证据/不适用</x:v>
      </x:c>
      <x:c r="U180" s="30" t="str">
        <x:v>2026-10-08（资料核对；并非所有项目重新官网复核）</x:v>
      </x:c>
      <x:c r="V180" s="30" t="str">
        <x:v>关注下一年度开放指南</x:v>
      </x:c>
      <x:c r="W180" s="30" t="str">
        <x:v>按固定指南研究内容和成果考核；工程机械应用约束</x:v>
      </x:c>
      <x:c r="X180" s="30" t="str">
        <x:v>共有基线v0.8</x:v>
      </x:c>
      <x:c r="Y180" s="30" t="str">
        <x:v>v0.8:M023</x:v>
      </x:c>
      <x:c r="Z180" s="30" t="str">
        <x:v>原编号保留</x:v>
      </x:c>
    </x:row>
    <x:row r="181" ht="36" customHeight="1">
      <x:c r="A181" s="30" t="str">
        <x:v>M087</x:v>
      </x:c>
      <x:c r="B181" s="30" t="str">
        <x:v>开放基金/课题候选</x:v>
      </x:c>
      <x:c r="C181" s="30" t="str">
        <x:v>福州外语外贸学院</x:v>
      </x:c>
      <x:c r="D181" s="30" t="str">
        <x:v>数据科学与智能计算重点实验室</x:v>
      </x:c>
      <x:c r="E181" s="30" t="str">
        <x:v>2026-05-25</x:v>
      </x:c>
      <x:c r="F181" s="30" t="str">
        <x:v>已截止·历史储备</x:v>
      </x:c>
      <x:c r="G181" s="30" t="str">
        <x:v>低</x:v>
      </x:c>
      <x:c r="H181" s="30" t="str">
        <x:v>医学图像；最优化算法；机器视觉；智能决策</x:v>
      </x:c>
      <x:c r="I181" s="30" t="str">
        <x:v>与面上项目科学内容匹配程度依方向摘要判断；正式选题须核指南</x:v>
      </x:c>
      <x:c r="J181" s="30" t="str">
        <x:v>金额/期限：0.5万—2万元（历史记录）</x:v>
      </x:c>
      <x:c r="K181" s="30" t="str">
        <x:v>申请资格待核</x:v>
      </x:c>
      <x:c r="L181" s="30" t="str">
        <x:v>固定成员合作要求待核</x:v>
      </x:c>
      <x:c r="M181" s="30" t="str">
        <x:v>是否外拨待核</x:v>
      </x:c>
      <x:c r="N181" s="30" t="str">
        <x:v>研究周期待核</x:v>
      </x:c>
      <x:c r="O181" s="30" t="str">
        <x:v>成果与署名规则待核</x:v>
      </x:c>
      <x:c r="P181" s="30" t="str">
        <x:v>申请书、盖章及提交方式待核</x:v>
      </x:c>
      <x:c r="Q181" s="30" t="str">
        <x:v>https://www.fzfu.com/bigdata/info/1171/4977.htm</x:v>
      </x:c>
      <x:c r="R181" s="30" t="str">
        <x:v>https://www.fzfu.com/bigdata/info/1171/4977.htm</x:v>
      </x:c>
      <x:c r="S181" s="30" t="str">
        <x:v>来源档案写明核过官网</x:v>
      </x:c>
      <x:c r="T181" s="30" t="str">
        <x:v>缺逐附件完成证据/不适用</x:v>
      </x:c>
      <x:c r="U181" s="30" t="str">
        <x:v>2026-10-08（资料核对；并非所有项目重新官网复核）</x:v>
      </x:c>
      <x:c r="V181" s="30" t="str">
        <x:v>关注下一年度开放指南</x:v>
      </x:c>
      <x:c r="W181" s="30" t="str">
        <x:v>申请资格待核</x:v>
      </x:c>
      <x:c r="X181" s="30" t="str">
        <x:v>共有基线v0.8</x:v>
      </x:c>
      <x:c r="Y181" s="30" t="str">
        <x:v>v0.8:M087</x:v>
      </x:c>
      <x:c r="Z181" s="30" t="str">
        <x:v>原编号保留</x:v>
      </x:c>
    </x:row>
    <x:row r="182" ht="36" customHeight="1">
      <x:c r="A182" s="30" t="str">
        <x:v>M065</x:v>
      </x:c>
      <x:c r="B182" s="30" t="str">
        <x:v>开放基金/课题候选</x:v>
      </x:c>
      <x:c r="C182" s="30" t="str">
        <x:v>山东大学齐鲁第二医院</x:v>
      </x:c>
      <x:c r="D182" s="30" t="str">
        <x:v>山东省癌症数字医疗重点实验室（筹）</x:v>
      </x:c>
      <x:c r="E182" s="30" t="str">
        <x:v>2026-05-31</x:v>
      </x:c>
      <x:c r="F182" s="30" t="str">
        <x:v>已截止·历史储备</x:v>
      </x:c>
      <x:c r="G182" s="30" t="str">
        <x:v>低</x:v>
      </x:c>
      <x:c r="H182" s="30" t="str">
        <x:v>医学影像智能分析；智慧诊疗</x:v>
      </x:c>
      <x:c r="I182" s="30" t="str">
        <x:v>与面上项目科学内容匹配程度依方向摘要判断；正式选题须核指南</x:v>
      </x:c>
      <x:c r="J182" s="30" t="str">
        <x:v>未记录／待核</x:v>
      </x:c>
      <x:c r="K182" s="30" t="str">
        <x:v>申请资格待核</x:v>
      </x:c>
      <x:c r="L182" s="30" t="str">
        <x:v>固定成员合作要求待核</x:v>
      </x:c>
      <x:c r="M182" s="30" t="str">
        <x:v>是否外拨待核</x:v>
      </x:c>
      <x:c r="N182" s="30" t="str">
        <x:v>研究周期待核</x:v>
      </x:c>
      <x:c r="O182" s="30" t="str">
        <x:v>成果与署名规则待核</x:v>
      </x:c>
      <x:c r="P182" s="30" t="str">
        <x:v>申请书、盖章及提交方式待核</x:v>
      </x:c>
      <x:c r="Q182" s="30" t="str">
        <x:v>https://www.sdey.net/html/2026/kydt_0511/31276.html</x:v>
      </x:c>
      <x:c r="R182" s="30" t="str"/>
      <x:c r="S182" s="30" t="str">
        <x:v>仅继承来源信息/待核</x:v>
      </x:c>
      <x:c r="T182" s="30" t="str">
        <x:v>缺逐附件完成证据/不适用</x:v>
      </x:c>
      <x:c r="U182" s="30" t="str">
        <x:v>2026-10-08（资料核对；并非所有项目重新官网复核）</x:v>
      </x:c>
      <x:c r="V182" s="30" t="str">
        <x:v>关注下一年度开放指南</x:v>
      </x:c>
      <x:c r="W182" s="30" t="str">
        <x:v>申请资格待核</x:v>
      </x:c>
      <x:c r="X182" s="30" t="str">
        <x:v>共有基线v0.8</x:v>
      </x:c>
      <x:c r="Y182" s="30" t="str">
        <x:v>v0.8:M065</x:v>
      </x:c>
      <x:c r="Z182" s="30" t="str">
        <x:v>原编号保留</x:v>
      </x:c>
    </x:row>
    <x:row r="183" ht="36" customHeight="1">
      <x:c r="A183" s="30" t="str">
        <x:v>M073</x:v>
      </x:c>
      <x:c r="B183" s="30" t="str">
        <x:v>开放基金/课题候选</x:v>
      </x:c>
      <x:c r="C183" s="30" t="str">
        <x:v>中国科学院工业人工智能研究所</x:v>
      </x:c>
      <x:c r="D183" s="30" t="str">
        <x:v>江苏省工业人工智能重点实验室</x:v>
      </x:c>
      <x:c r="E183" s="30" t="str">
        <x:v>2026-05-31</x:v>
      </x:c>
      <x:c r="F183" s="30" t="str">
        <x:v>已截止·历史储备</x:v>
      </x:c>
      <x:c r="G183" s="30" t="str">
        <x:v>低</x:v>
      </x:c>
      <x:c r="H183" s="30" t="str">
        <x:v>具身智能；世界模型；柔顺操作；人机协同</x:v>
      </x:c>
      <x:c r="I183" s="30" t="str">
        <x:v>与面上项目科学内容匹配程度依方向摘要判断；正式选题须核指南</x:v>
      </x:c>
      <x:c r="J183" s="30" t="str">
        <x:v>未记录／待核</x:v>
      </x:c>
      <x:c r="K183" s="30" t="str">
        <x:v>依托所在地、项目链接类型待复核</x:v>
      </x:c>
      <x:c r="L183" s="30" t="str">
        <x:v>固定成员合作要求待核</x:v>
      </x:c>
      <x:c r="M183" s="30" t="str">
        <x:v>是否外拨待核</x:v>
      </x:c>
      <x:c r="N183" s="30" t="str">
        <x:v>研究周期待核</x:v>
      </x:c>
      <x:c r="O183" s="30" t="str">
        <x:v>成果与署名规则待核</x:v>
      </x:c>
      <x:c r="P183" s="30" t="str">
        <x:v>申请书、盖章及提交方式待核</x:v>
      </x:c>
      <x:c r="Q183" s="30" t="str">
        <x:v>https://iaii.cas.cn/hzjl/kjhz/202607/t20260715_8248969.html</x:v>
      </x:c>
      <x:c r="R183" s="30" t="str">
        <x:v>https://iaii.cas.cn/hzjl/kjhz/202607/t20260715_8248969.html</x:v>
      </x:c>
      <x:c r="S183" s="30" t="str">
        <x:v>来源档案写明核过官网</x:v>
      </x:c>
      <x:c r="T183" s="30" t="str">
        <x:v>缺逐附件完成证据/不适用</x:v>
      </x:c>
      <x:c r="U183" s="30" t="str">
        <x:v>2026-10-08（资料核对；并非所有项目重新官网复核）</x:v>
      </x:c>
      <x:c r="V183" s="30" t="str">
        <x:v>关注下一年度开放指南</x:v>
      </x:c>
      <x:c r="W183" s="30" t="str">
        <x:v>依托所在地、项目链接类型待复核</x:v>
      </x:c>
      <x:c r="X183" s="30" t="str">
        <x:v>共有基线v0.8</x:v>
      </x:c>
      <x:c r="Y183" s="30" t="str">
        <x:v>v0.8:M073</x:v>
      </x:c>
      <x:c r="Z183" s="30" t="str">
        <x:v>原编号保留</x:v>
      </x:c>
    </x:row>
    <x:row r="184" ht="36" customHeight="1">
      <x:c r="A184" s="30" t="str">
        <x:v>M039</x:v>
      </x:c>
      <x:c r="B184" s="30" t="str">
        <x:v>开放基金/课题候选</x:v>
      </x:c>
      <x:c r="C184" s="30" t="str">
        <x:v>吉林大学</x:v>
      </x:c>
      <x:c r="D184" s="30" t="str">
        <x:v>地球信息探测仪器教育部重点实验室</x:v>
      </x:c>
      <x:c r="E184" s="30" t="str">
        <x:v>2026-07-12</x:v>
      </x:c>
      <x:c r="F184" s="30" t="str">
        <x:v>已截止·历史储备</x:v>
      </x:c>
      <x:c r="G184" s="30" t="str">
        <x:v>低</x:v>
      </x:c>
      <x:c r="H184" s="30" t="str">
        <x:v>多传感融合；智能检测；无人系统控制</x:v>
      </x:c>
      <x:c r="I184" s="30" t="str">
        <x:v>与面上项目科学内容匹配程度依方向摘要判断；正式选题须核指南</x:v>
      </x:c>
      <x:c r="J184" s="30" t="str">
        <x:v>未记录／待核</x:v>
      </x:c>
      <x:c r="K184" s="30" t="str">
        <x:v>地球探测场景</x:v>
      </x:c>
      <x:c r="L184" s="30" t="str">
        <x:v>固定成员合作要求待核</x:v>
      </x:c>
      <x:c r="M184" s="30" t="str">
        <x:v>是否外拨待核</x:v>
      </x:c>
      <x:c r="N184" s="30" t="str">
        <x:v>研究周期待核</x:v>
      </x:c>
      <x:c r="O184" s="30" t="str">
        <x:v>成果与署名规则待核</x:v>
      </x:c>
      <x:c r="P184" s="30" t="str">
        <x:v>申请书、盖章及提交方式待核</x:v>
      </x:c>
      <x:c r="Q184" s="30" t="str">
        <x:v>https://olagi.jlu.edu.cn/info/1046/1750.htm</x:v>
      </x:c>
      <x:c r="R184" s="30" t="str">
        <x:v>https://olagi.jlu.edu.cn/info/1046/1750.htm</x:v>
      </x:c>
      <x:c r="S184" s="30" t="str">
        <x:v>仅继承来源信息/待核</x:v>
      </x:c>
      <x:c r="T184" s="30" t="str">
        <x:v>缺逐附件完成证据/不适用</x:v>
      </x:c>
      <x:c r="U184" s="30" t="str">
        <x:v>2026-10-08（资料核对；并非所有项目重新官网复核）</x:v>
      </x:c>
      <x:c r="V184" s="30" t="str">
        <x:v>关注下一年度开放指南</x:v>
      </x:c>
      <x:c r="W184" s="30" t="str">
        <x:v>地球探测场景</x:v>
      </x:c>
      <x:c r="X184" s="30" t="str">
        <x:v>共有基线v0.8</x:v>
      </x:c>
      <x:c r="Y184" s="30" t="str">
        <x:v>v0.8:M039</x:v>
      </x:c>
      <x:c r="Z184" s="30" t="str">
        <x:v>原编号保留</x:v>
      </x:c>
    </x:row>
    <x:row r="185" ht="36" customHeight="1">
      <x:c r="A185" s="30" t="str">
        <x:v>M079</x:v>
      </x:c>
      <x:c r="B185" s="30" t="str">
        <x:v>开放基金/课题候选</x:v>
      </x:c>
      <x:c r="C185" s="30" t="str">
        <x:v>河北地质大学</x:v>
      </x:c>
      <x:c r="D185" s="30" t="str">
        <x:v>河北省地质环境智能感知与数据处理重点实验室</x:v>
      </x:c>
      <x:c r="E185" s="30" t="str">
        <x:v>2026-07-24</x:v>
      </x:c>
      <x:c r="F185" s="30" t="str">
        <x:v>已截止·历史储备</x:v>
      </x:c>
      <x:c r="G185" s="30" t="str">
        <x:v>低</x:v>
      </x:c>
      <x:c r="H185" s="30" t="str">
        <x:v>多模态融合；三维几何建模；智能数据处理</x:v>
      </x:c>
      <x:c r="I185" s="30" t="str">
        <x:v>与面上项目科学内容匹配程度依方向摘要判断；正式选题须核指南</x:v>
      </x:c>
      <x:c r="J185" s="30" t="str">
        <x:v>未记录／待核</x:v>
      </x:c>
      <x:c r="K185" s="30" t="str">
        <x:v>地质场景约束</x:v>
      </x:c>
      <x:c r="L185" s="30" t="str">
        <x:v>固定成员合作要求待核</x:v>
      </x:c>
      <x:c r="M185" s="30" t="str">
        <x:v>是否外拨待核</x:v>
      </x:c>
      <x:c r="N185" s="30" t="str">
        <x:v>研究周期待核</x:v>
      </x:c>
      <x:c r="O185" s="30" t="str">
        <x:v>成果与署名规则待核</x:v>
      </x:c>
      <x:c r="P185" s="30" t="str">
        <x:v>申请书、盖章及提交方式待核</x:v>
      </x:c>
      <x:c r="Q185" s="30" t="str">
        <x:v>https://www.hgu.edu.cn/info/1050/11863.htm</x:v>
      </x:c>
      <x:c r="R185" s="30" t="str"/>
      <x:c r="S185" s="30" t="str">
        <x:v>仅继承来源信息/待核</x:v>
      </x:c>
      <x:c r="T185" s="30" t="str">
        <x:v>缺逐附件完成证据/不适用</x:v>
      </x:c>
      <x:c r="U185" s="30" t="str">
        <x:v>2026-10-08（资料核对；并非所有项目重新官网复核）</x:v>
      </x:c>
      <x:c r="V185" s="30" t="str">
        <x:v>关注下一年度开放指南</x:v>
      </x:c>
      <x:c r="W185" s="30" t="str">
        <x:v>地质场景约束</x:v>
      </x:c>
      <x:c r="X185" s="30" t="str">
        <x:v>共有基线v0.8</x:v>
      </x:c>
      <x:c r="Y185" s="30" t="str">
        <x:v>v0.8:M079</x:v>
      </x:c>
      <x:c r="Z185" s="30" t="str">
        <x:v>原编号保留</x:v>
      </x:c>
    </x:row>
    <x:row r="186" ht="36" customHeight="1">
      <x:c r="A186" s="30" t="str">
        <x:v>M019</x:v>
      </x:c>
      <x:c r="B186" s="30" t="str">
        <x:v>开放基金/课题候选</x:v>
      </x:c>
      <x:c r="C186" s="30" t="str">
        <x:v>潍柴动力等</x:v>
      </x:c>
      <x:c r="D186" s="30" t="str">
        <x:v>内燃机与动力系统全国重点实验室</x:v>
      </x:c>
      <x:c r="E186" s="30" t="str">
        <x:v>2026-07-25</x:v>
      </x:c>
      <x:c r="F186" s="30" t="str">
        <x:v>已截止·历史储备</x:v>
      </x:c>
      <x:c r="G186" s="30" t="str">
        <x:v>低</x:v>
      </x:c>
      <x:c r="H186" s="30" t="str">
        <x:v>系统感知；智能模拟；协同控制；机电耦合动态建模</x:v>
      </x:c>
      <x:c r="I186" s="30" t="str">
        <x:v>与面上项目科学内容匹配程度依方向摘要判断；正式选题须核指南</x:v>
      </x:c>
      <x:c r="J186" s="30" t="str">
        <x:v>未记录／待核</x:v>
      </x:c>
      <x:c r="K186" s="30" t="str">
        <x:v>工业动力系统场景；要求博士/副高，不接受多家院校联合申报</x:v>
      </x:c>
      <x:c r="L186" s="30" t="str">
        <x:v>固定成员合作要求待核</x:v>
      </x:c>
      <x:c r="M186" s="30" t="str">
        <x:v>是否外拨待核</x:v>
      </x:c>
      <x:c r="N186" s="30" t="str">
        <x:v>研究周期待核</x:v>
      </x:c>
      <x:c r="O186" s="30" t="str">
        <x:v>成果与署名规则待核</x:v>
      </x:c>
      <x:c r="P186" s="30" t="str">
        <x:v>申请书、盖章及提交方式待核</x:v>
      </x:c>
      <x:c r="Q186" s="30" t="str">
        <x:v>https://www.skler.cn/home/focus/202606/t20260611_125037.html</x:v>
      </x:c>
      <x:c r="R186" s="30" t="str"/>
      <x:c r="S186" s="30" t="str">
        <x:v>来源档案写明核过官网</x:v>
      </x:c>
      <x:c r="T186" s="30" t="str">
        <x:v>缺逐附件完成证据/不适用</x:v>
      </x:c>
      <x:c r="U186" s="30" t="str">
        <x:v>2026-10-08（资料核对；并非所有项目重新官网复核）</x:v>
      </x:c>
      <x:c r="V186" s="30" t="str">
        <x:v>关注下一年度开放指南</x:v>
      </x:c>
      <x:c r="W186" s="30" t="str">
        <x:v>工业动力系统场景；要求博士/副高，不接受多家院校联合申报</x:v>
      </x:c>
      <x:c r="X186" s="30" t="str">
        <x:v>共有基线v0.8</x:v>
      </x:c>
      <x:c r="Y186" s="30" t="str">
        <x:v>v0.8:M019</x:v>
      </x:c>
      <x:c r="Z186" s="30" t="str">
        <x:v>原编号保留</x:v>
      </x:c>
    </x:row>
    <x:row r="187" ht="36" customHeight="1">
      <x:c r="A187" s="30" t="str">
        <x:v>M137</x:v>
      </x:c>
      <x:c r="B187" s="30" t="str">
        <x:v>开放基金/课题候选</x:v>
      </x:c>
      <x:c r="C187" s="30" t="str">
        <x:v>江苏·中国农业科学院南京农业机械化研究所</x:v>
      </x:c>
      <x:c r="D187" s="30" t="str">
        <x:v>农业农村部现代农业装备重点实验室</x:v>
      </x:c>
      <x:c r="E187" s="30" t="str">
        <x:v>2026-07-26</x:v>
      </x:c>
      <x:c r="F187" s="30" t="str">
        <x:v>已截止·历史储备</x:v>
      </x:c>
      <x:c r="G187" s="30" t="str">
        <x:v>低</x:v>
      </x:c>
      <x:c r="H187" s="30" t="str">
        <x:v>方向/边界：智能农机多源定位、动态环境自主导航、多执行机构协同控制、多模态融合、机器人自主作业；必须以农业装备为对象</x:v>
      </x:c>
      <x:c r="I187" s="30" t="str">
        <x:v>与面上项目科学内容匹配程度依方向摘要判断；正式选题须核指南</x:v>
      </x:c>
      <x:c r="J187" s="30" t="str">
        <x:v>10万元、2年</x:v>
      </x:c>
      <x:c r="K187" s="30" t="str">
        <x:v>资助/资格/证据：对外开放，约10项、每项不超过10万元、2年；博士/中级及以上职称；固定成员共同负责人；需2篇EI或SCI、实验室第一完成单位；中国农科院研究所官方指南</x:v>
      </x:c>
      <x:c r="L187" s="30" t="str">
        <x:v>固定成员合作要求待核</x:v>
      </x:c>
      <x:c r="M187" s="30" t="str">
        <x:v>是否外拨待核</x:v>
      </x:c>
      <x:c r="N187" s="30" t="str">
        <x:v>研究周期待核</x:v>
      </x:c>
      <x:c r="O187" s="30" t="str">
        <x:v>成果与署名规则待核</x:v>
      </x:c>
      <x:c r="P187" s="30" t="str">
        <x:v>申请书、盖章及提交方式待核</x:v>
      </x:c>
      <x:c r="Q187" s="30" t="str">
        <x:v>https://nnj.caas.cn/xwdt/tzygg/9257acffb31c42e19dbb82b2c7671e98.htm</x:v>
      </x:c>
      <x:c r="R187" s="30" t="str"/>
      <x:c r="S187" s="30" t="str">
        <x:v>仅继承来源信息/待核</x:v>
      </x:c>
      <x:c r="T187" s="30" t="str">
        <x:v>缺逐附件完成证据/不适用</x:v>
      </x:c>
      <x:c r="U187" s="30" t="str">
        <x:v>2026-10-08（资料核对；并非所有项目重新官网复核）</x:v>
      </x:c>
      <x:c r="V187" s="30" t="str">
        <x:v>关注下一年度开放指南</x:v>
      </x:c>
      <x:c r="W187" s="30" t="str">
        <x:v>资助/资格/证据：对外开放，约10项、每项不超过10万元、2年；博士/中级及以上职称；固定成员共同负责人；需2篇EI或SCI、实验室第一完成单位；中国农科院研究所官方指南</x:v>
      </x:c>
      <x:c r="X187" s="30" t="str">
        <x:v>共有基线v0.8</x:v>
      </x:c>
      <x:c r="Y187" s="30" t="str">
        <x:v>v0.8:M137</x:v>
      </x:c>
      <x:c r="Z187" s="30" t="str">
        <x:v>原编号保留</x:v>
      </x:c>
    </x:row>
    <x:row r="188" ht="36" customHeight="1">
      <x:c r="A188" s="30" t="str">
        <x:v>M008</x:v>
      </x:c>
      <x:c r="B188" s="30" t="str">
        <x:v>开放基金/课题候选</x:v>
      </x:c>
      <x:c r="C188" s="30" t="str">
        <x:v>中国科学院自动化研究所</x:v>
      </x:c>
      <x:c r="D188" s="30" t="str">
        <x:v>复杂系统认知与决策国家级重点实验室</x:v>
      </x:c>
      <x:c r="E188" s="30" t="str">
        <x:v>2026-07-31</x:v>
      </x:c>
      <x:c r="F188" s="30" t="str">
        <x:v>已截止·历史储备</x:v>
      </x:c>
      <x:c r="G188" s="30" t="str">
        <x:v>低</x:v>
      </x:c>
      <x:c r="H188" s="30" t="str">
        <x:v>复杂系统决策与控制（本轮指南偏无人机监视反制）</x:v>
      </x:c>
      <x:c r="I188" s="30" t="str">
        <x:v>与面上项目科学内容匹配程度依方向摘要判断；正式选题须核指南</x:v>
      </x:c>
      <x:c r="J188" s="30" t="str">
        <x:v>未记录／待核</x:v>
      </x:c>
      <x:c r="K188" s="30" t="str">
        <x:v>当轮应用方向不适合超声机器人，历史方向跟踪</x:v>
      </x:c>
      <x:c r="L188" s="30" t="str">
        <x:v>固定成员合作要求待核</x:v>
      </x:c>
      <x:c r="M188" s="30" t="str">
        <x:v>是否外拨待核</x:v>
      </x:c>
      <x:c r="N188" s="30" t="str">
        <x:v>研究周期待核</x:v>
      </x:c>
      <x:c r="O188" s="30" t="str">
        <x:v>成果与署名规则待核</x:v>
      </x:c>
      <x:c r="P188" s="30" t="str">
        <x:v>申请书、盖章及提交方式待核</x:v>
      </x:c>
      <x:c r="Q188" s="30" t="str">
        <x:v>https://ia.cas.cn/qtgn/tzgg/202607/t20260721_8252870.html</x:v>
      </x:c>
      <x:c r="R188" s="30" t="str">
        <x:v>https://www.ia.ac.cn/qtgn/tzgg/202607/t20260721_8252870.html</x:v>
      </x:c>
      <x:c r="S188" s="30" t="str">
        <x:v>仅继承来源信息/待核</x:v>
      </x:c>
      <x:c r="T188" s="30" t="str">
        <x:v>缺逐附件完成证据/不适用</x:v>
      </x:c>
      <x:c r="U188" s="30" t="str">
        <x:v>2026-10-08（资料核对；并非所有项目重新官网复核）</x:v>
      </x:c>
      <x:c r="V188" s="30" t="str">
        <x:v>关注下一年度开放指南</x:v>
      </x:c>
      <x:c r="W188" s="30" t="str">
        <x:v>当轮应用方向不适合超声机器人，历史方向跟踪</x:v>
      </x:c>
      <x:c r="X188" s="30" t="str">
        <x:v>共有基线v0.8</x:v>
      </x:c>
      <x:c r="Y188" s="30" t="str">
        <x:v>v0.8:M008</x:v>
      </x:c>
      <x:c r="Z188" s="30" t="str">
        <x:v>原编号保留</x:v>
      </x:c>
    </x:row>
    <x:row r="189" ht="36" customHeight="1">
      <x:c r="A189" s="30" t="str">
        <x:v>M171</x:v>
      </x:c>
      <x:c r="B189" s="30" t="str">
        <x:v>开放基金/课题候选</x:v>
      </x:c>
      <x:c r="C189" s="30" t="str">
        <x:v>南京医科大学</x:v>
      </x:c>
      <x:c r="D189" s="30" t="str">
        <x:v>生殖医学与子代健康全国重点实验室</x:v>
      </x:c>
      <x:c r="E189" s="30" t="str">
        <x:v>2026-08-14</x:v>
      </x:c>
      <x:c r="F189" s="30" t="str">
        <x:v>已截止·历史储备</x:v>
      </x:c>
      <x:c r="G189" s="30" t="str">
        <x:v>低</x:v>
      </x:c>
      <x:c r="H189" s="30" t="str">
        <x:v>医学图像、智能诊疗等可能的方法交集；核心生殖医学研究主题限定</x:v>
      </x:c>
      <x:c r="I189" s="30" t="str">
        <x:v>与面上项目科学内容匹配程度依方向摘要判断；正式选题须核指南</x:v>
      </x:c>
      <x:c r="J189" s="30" t="str">
        <x:v>未记录／待核</x:v>
      </x:c>
      <x:c r="K189" s="30" t="str">
        <x:v>经费/申报资格/限制：医学研究领域限定，申请书不宜直接照搬</x:v>
      </x:c>
      <x:c r="L189" s="30" t="str">
        <x:v>固定成员合作要求待核</x:v>
      </x:c>
      <x:c r="M189" s="30" t="str">
        <x:v>是否外拨待核</x:v>
      </x:c>
      <x:c r="N189" s="30" t="str">
        <x:v>研究周期待核</x:v>
      </x:c>
      <x:c r="O189" s="30" t="str">
        <x:v>成果与署名规则待核</x:v>
      </x:c>
      <x:c r="P189" s="30" t="str">
        <x:v>申请书、盖章及提交方式待核</x:v>
      </x:c>
      <x:c r="Q189" s="30" t="str">
        <x:v>https://sklrm.njmu.edu.cn/2026/0714/c1970a304596/pagem.htm</x:v>
      </x:c>
      <x:c r="R189" s="30" t="str"/>
      <x:c r="S189" s="30" t="str">
        <x:v>仅继承来源信息/待核</x:v>
      </x:c>
      <x:c r="T189" s="30" t="str">
        <x:v>缺逐附件完成证据/不适用</x:v>
      </x:c>
      <x:c r="U189" s="30" t="str">
        <x:v>2026-10-08（资料核对；并非所有项目重新官网复核）</x:v>
      </x:c>
      <x:c r="V189" s="30" t="str">
        <x:v>关注下一年度开放指南</x:v>
      </x:c>
      <x:c r="W189" s="30" t="str">
        <x:v>经费/申报资格/限制：医学研究领域限定，申请书不宜直接照搬</x:v>
      </x:c>
      <x:c r="X189" s="30" t="str">
        <x:v>共有基线v0.8</x:v>
      </x:c>
      <x:c r="Y189" s="30" t="str">
        <x:v>v0.8:M171</x:v>
      </x:c>
      <x:c r="Z189" s="30" t="str">
        <x:v>原编号保留</x:v>
      </x:c>
    </x:row>
    <x:row r="190" ht="36" customHeight="1">
      <x:c r="A190" s="30" t="str">
        <x:v>M128</x:v>
      </x:c>
      <x:c r="B190" s="30" t="str">
        <x:v>开放基金/课题候选</x:v>
      </x:c>
      <x:c r="C190" s="30" t="str">
        <x:v>青海理工学院</x:v>
      </x:c>
      <x:c r="D190" s="30" t="str">
        <x:v>青海省大数据金融与人工智能应用技术重点实验室</x:v>
      </x:c>
      <x:c r="E190" s="30" t="str">
        <x:v>2026-08-20</x:v>
      </x:c>
      <x:c r="F190" s="30" t="str">
        <x:v>已截止·历史储备</x:v>
      </x:c>
      <x:c r="G190" s="30" t="str">
        <x:v>低</x:v>
      </x:c>
      <x:c r="H190" s="30" t="str">
        <x:v>人工智能及应用；需核具体研究指南</x:v>
      </x:c>
      <x:c r="I190" s="30" t="str">
        <x:v>与面上项目科学内容匹配程度依方向摘要判断；正式选题须核指南</x:v>
      </x:c>
      <x:c r="J190" s="30" t="str">
        <x:v>未记录／待核</x:v>
      </x:c>
      <x:c r="K190" s="30" t="str">
        <x:v>申请资格待核</x:v>
      </x:c>
      <x:c r="L190" s="30" t="str">
        <x:v>固定成员合作要求待核</x:v>
      </x:c>
      <x:c r="M190" s="30" t="str">
        <x:v>是否外拨待核</x:v>
      </x:c>
      <x:c r="N190" s="30" t="str">
        <x:v>研究周期待核</x:v>
      </x:c>
      <x:c r="O190" s="30" t="str">
        <x:v>成果与署名规则待核</x:v>
      </x:c>
      <x:c r="P190" s="30" t="str">
        <x:v>申请书、盖章及提交方式待核</x:v>
      </x:c>
      <x:c r="Q190" s="30" t="str">
        <x:v>https://sxy.qhit.edu.cn/info/1060/3767.htm</x:v>
      </x:c>
      <x:c r="R190" s="30" t="str"/>
      <x:c r="S190" s="30" t="str">
        <x:v>仅继承来源信息/待核</x:v>
      </x:c>
      <x:c r="T190" s="30" t="str">
        <x:v>缺逐附件完成证据/不适用</x:v>
      </x:c>
      <x:c r="U190" s="30" t="str">
        <x:v>2026-10-08（资料核对；并非所有项目重新官网复核）</x:v>
      </x:c>
      <x:c r="V190" s="30" t="str">
        <x:v>关注下一年度开放指南</x:v>
      </x:c>
      <x:c r="W190" s="30" t="str">
        <x:v>申请资格待核</x:v>
      </x:c>
      <x:c r="X190" s="30" t="str">
        <x:v>共有基线v0.8</x:v>
      </x:c>
      <x:c r="Y190" s="30" t="str">
        <x:v>v0.8:M128</x:v>
      </x:c>
      <x:c r="Z190" s="30" t="str">
        <x:v>原编号保留</x:v>
      </x:c>
    </x:row>
    <x:row r="191" ht="36" customHeight="1">
      <x:c r="A191" s="30" t="str">
        <x:v>M002</x:v>
      </x:c>
      <x:c r="B191" s="30" t="str">
        <x:v>开放基金/课题候选</x:v>
      </x:c>
      <x:c r="C191" s="30" t="str">
        <x:v>上海科技大学</x:v>
      </x:c>
      <x:c r="D191" s="30" t="str">
        <x:v>先进医用材料与医疗器械全国重点实验室（一般开放）</x:v>
      </x:c>
      <x:c r="E191" s="30" t="str">
        <x:v>2026-08-21</x:v>
      </x:c>
      <x:c r="F191" s="30" t="str">
        <x:v>已截止·历史储备</x:v>
      </x:c>
      <x:c r="G191" s="30" t="str">
        <x:v>低</x:v>
      </x:c>
      <x:c r="H191" s="30" t="str">
        <x:v>高端医疗装备；人机交互；医用材料和器械</x:v>
      </x:c>
      <x:c r="I191" s="30" t="str">
        <x:v>与面上项目科学内容匹配程度依方向摘要判断；正式选题须核指南</x:v>
      </x:c>
      <x:c r="J191" s="30" t="str">
        <x:v>5万元</x:v>
      </x:c>
      <x:c r="K191" s="30" t="str">
        <x:v>成果共同署名；一般开放课题5万元</x:v>
      </x:c>
      <x:c r="L191" s="30" t="str">
        <x:v>固定成员合作要求待核</x:v>
      </x:c>
      <x:c r="M191" s="30" t="str">
        <x:v>是否外拨待核</x:v>
      </x:c>
      <x:c r="N191" s="30" t="str">
        <x:v>研究周期待核</x:v>
      </x:c>
      <x:c r="O191" s="30" t="str">
        <x:v>成果与署名规则待核</x:v>
      </x:c>
      <x:c r="P191" s="30" t="str">
        <x:v>申请书、盖章及提交方式待核</x:v>
      </x:c>
      <x:c r="Q191" s="30" t="str">
        <x:v>https://www.shanghaitech.edu.cn/2026/0724/c1482a1125781/page.htm</x:v>
      </x:c>
      <x:c r="R191" s="30" t="str">
        <x:v>https://www.shanghaitech.edu.cn/2026/0724/c1482a1125781/page.htm</x:v>
      </x:c>
      <x:c r="S191" s="30" t="str">
        <x:v>来源档案写明核过官网</x:v>
      </x:c>
      <x:c r="T191" s="30" t="str">
        <x:v>缺逐附件完成证据/不适用</x:v>
      </x:c>
      <x:c r="U191" s="30" t="str">
        <x:v>2026-10-08（资料核对；并非所有项目重新官网复核）</x:v>
      </x:c>
      <x:c r="V191" s="30" t="str">
        <x:v>关注下一年度开放指南</x:v>
      </x:c>
      <x:c r="W191" s="30" t="str">
        <x:v>成果共同署名；一般开放课题5万元</x:v>
      </x:c>
      <x:c r="X191" s="30" t="str">
        <x:v>共有基线v0.8</x:v>
      </x:c>
      <x:c r="Y191" s="30" t="str">
        <x:v>v0.8:M002</x:v>
      </x:c>
      <x:c r="Z191" s="30" t="str">
        <x:v>原编号保留</x:v>
      </x:c>
    </x:row>
    <x:row r="192" ht="36" customHeight="1">
      <x:c r="A192" s="30" t="str">
        <x:v>M014</x:v>
      </x:c>
      <x:c r="B192" s="30" t="str">
        <x:v>开放基金/课题候选</x:v>
      </x:c>
      <x:c r="C192" s="30" t="str">
        <x:v>北京大学</x:v>
      </x:c>
      <x:c r="D192" s="30" t="str">
        <x:v>跨媒体通用人工智能全国重点实验室</x:v>
      </x:c>
      <x:c r="E192" s="30" t="str">
        <x:v>2026-08-28</x:v>
      </x:c>
      <x:c r="F192" s="30" t="str">
        <x:v>已截止·历史储备</x:v>
      </x:c>
      <x:c r="G192" s="30" t="str">
        <x:v>低</x:v>
      </x:c>
      <x:c r="H192" s="30" t="str">
        <x:v>多点接触规划；具身操作动作生成；精细操作技能学习；在线决策</x:v>
      </x:c>
      <x:c r="I192" s="30" t="str">
        <x:v>与面上项目科学内容匹配程度依方向摘要判断；正式选题须核指南</x:v>
      </x:c>
      <x:c r="J192" s="30" t="str">
        <x:v>20万元</x:v>
      </x:c>
      <x:c r="K192" s="30" t="str">
        <x:v>指南课题题目固定；资助上限20万元</x:v>
      </x:c>
      <x:c r="L192" s="30" t="str">
        <x:v>固定成员合作要求待核</x:v>
      </x:c>
      <x:c r="M192" s="30" t="str">
        <x:v>是否外拨待核</x:v>
      </x:c>
      <x:c r="N192" s="30" t="str">
        <x:v>研究周期待核</x:v>
      </x:c>
      <x:c r="O192" s="30" t="str">
        <x:v>成果与署名规则待核</x:v>
      </x:c>
      <x:c r="P192" s="30" t="str">
        <x:v>申请书、盖章及提交方式待核</x:v>
      </x:c>
      <x:c r="Q192" s="30" t="str">
        <x:v>https://sist.pku.edu.cn/info/2320/10785.htm</x:v>
      </x:c>
      <x:c r="R192" s="30" t="str">
        <x:v>https://sist.pku.edu.cn/info/2320/10785.htm</x:v>
      </x:c>
      <x:c r="S192" s="30" t="str">
        <x:v>来源档案写明核过官网</x:v>
      </x:c>
      <x:c r="T192" s="30" t="str">
        <x:v>缺逐附件完成证据/不适用</x:v>
      </x:c>
      <x:c r="U192" s="30" t="str">
        <x:v>2026-10-08（资料核对；并非所有项目重新官网复核）</x:v>
      </x:c>
      <x:c r="V192" s="30" t="str">
        <x:v>关注下一年度开放指南</x:v>
      </x:c>
      <x:c r="W192" s="30" t="str">
        <x:v>指南课题题目固定；资助上限20万元</x:v>
      </x:c>
      <x:c r="X192" s="30" t="str">
        <x:v>共有基线v0.8</x:v>
      </x:c>
      <x:c r="Y192" s="30" t="str">
        <x:v>v0.8:M014</x:v>
      </x:c>
      <x:c r="Z192" s="30" t="str">
        <x:v>原编号保留</x:v>
      </x:c>
    </x:row>
    <x:row r="193" ht="36" customHeight="1">
      <x:c r="A193" s="30" t="str">
        <x:v>M110</x:v>
      </x:c>
      <x:c r="B193" s="30" t="str">
        <x:v>开放基金/课题候选</x:v>
      </x:c>
      <x:c r="C193" s="30" t="str">
        <x:v>同济大学</x:v>
      </x:c>
      <x:c r="D193" s="30" t="str">
        <x:v>工程结构性能演化与控制教育部重点实验室</x:v>
      </x:c>
      <x:c r="E193" s="30" t="str">
        <x:v>2026-08-31</x:v>
      </x:c>
      <x:c r="F193" s="30" t="str">
        <x:v>已截止·历史储备</x:v>
      </x:c>
      <x:c r="G193" s="30" t="str">
        <x:v>低</x:v>
      </x:c>
      <x:c r="H193" s="30" t="str">
        <x:v>非线性动力学、系统建模与控制；土木工程应用限定</x:v>
      </x:c>
      <x:c r="I193" s="30" t="str">
        <x:v>与面上项目科学内容匹配程度依方向摘要判断；正式选题须核指南</x:v>
      </x:c>
      <x:c r="J193" s="30" t="str">
        <x:v>未记录／待核</x:v>
      </x:c>
      <x:c r="K193" s="30" t="str">
        <x:v>申请资格待核</x:v>
      </x:c>
      <x:c r="L193" s="30" t="str">
        <x:v>固定成员合作要求待核</x:v>
      </x:c>
      <x:c r="M193" s="30" t="str">
        <x:v>是否外拨待核</x:v>
      </x:c>
      <x:c r="N193" s="30" t="str">
        <x:v>研究周期待核</x:v>
      </x:c>
      <x:c r="O193" s="30" t="str">
        <x:v>成果与署名规则待核</x:v>
      </x:c>
      <x:c r="P193" s="30" t="str">
        <x:v>申请书、盖章及提交方式待核</x:v>
      </x:c>
      <x:c r="Q193" s="30" t="str">
        <x:v>https://peces.tongji.edu.cn/tzgg/148</x:v>
      </x:c>
      <x:c r="R193" s="30" t="str"/>
      <x:c r="S193" s="30" t="str">
        <x:v>仅继承来源信息/待核</x:v>
      </x:c>
      <x:c r="T193" s="30" t="str">
        <x:v>缺逐附件完成证据/不适用</x:v>
      </x:c>
      <x:c r="U193" s="30" t="str">
        <x:v>2026-10-08（资料核对；并非所有项目重新官网复核）</x:v>
      </x:c>
      <x:c r="V193" s="30" t="str">
        <x:v>关注下一年度开放指南</x:v>
      </x:c>
      <x:c r="W193" s="30" t="str">
        <x:v>申请资格待核</x:v>
      </x:c>
      <x:c r="X193" s="30" t="str">
        <x:v>共有基线v0.8</x:v>
      </x:c>
      <x:c r="Y193" s="30" t="str">
        <x:v>v0.8:M110</x:v>
      </x:c>
      <x:c r="Z193" s="30" t="str">
        <x:v>原编号保留</x:v>
      </x:c>
    </x:row>
    <x:row r="194" ht="36" customHeight="1">
      <x:c r="A194" s="30" t="str">
        <x:v>M154</x:v>
      </x:c>
      <x:c r="B194" s="30" t="str">
        <x:v>开放基金/课题候选</x:v>
      </x:c>
      <x:c r="C194" s="30" t="str">
        <x:v>清华大学</x:v>
      </x:c>
      <x:c r="D194" s="30" t="str">
        <x:v>新型电力系统运行与控制全国重点实验室</x:v>
      </x:c>
      <x:c r="E194" s="30" t="str">
        <x:v>2026-08-31</x:v>
      </x:c>
      <x:c r="F194" s="30" t="str">
        <x:v>已截止·历史储备</x:v>
      </x:c>
      <x:c r="G194" s="30" t="str">
        <x:v>低</x:v>
      </x:c>
      <x:c r="H194" s="30" t="str">
        <x:v>复杂系统运行与控制、电力装备；控制方法相关但电力系统领域限定</x:v>
      </x:c>
      <x:c r="I194" s="30" t="str">
        <x:v>与面上项目科学内容匹配程度依方向摘要判断；正式选题须核指南</x:v>
      </x:c>
      <x:c r="J194" s="30" t="str">
        <x:v>12万、面上至少5万</x:v>
      </x:c>
      <x:c r="K194" s="30" t="str">
        <x:v>清华以外在岗博士；重点至少12万、面上至少5万；每年受理一次；成果署名/经费外拨见官网</x:v>
      </x:c>
      <x:c r="L194" s="30" t="str">
        <x:v>固定成员合作要求待核</x:v>
      </x:c>
      <x:c r="M194" s="30" t="str">
        <x:v>是否外拨待核</x:v>
      </x:c>
      <x:c r="N194" s="30" t="str">
        <x:v>研究周期待核</x:v>
      </x:c>
      <x:c r="O194" s="30" t="str">
        <x:v>成果与署名规则待核</x:v>
      </x:c>
      <x:c r="P194" s="30" t="str">
        <x:v>申请书、盖章及提交方式待核</x:v>
      </x:c>
      <x:c r="Q194" s="30" t="str">
        <x:v>https://epowerlab.tsinghua.edu.cn/info/1179/1506.htm</x:v>
      </x:c>
      <x:c r="R194" s="30" t="str"/>
      <x:c r="S194" s="30" t="str">
        <x:v>仅继承来源信息/待核</x:v>
      </x:c>
      <x:c r="T194" s="30" t="str">
        <x:v>缺逐附件完成证据/不适用</x:v>
      </x:c>
      <x:c r="U194" s="30" t="str">
        <x:v>2026-10-08（资料核对；并非所有项目重新官网复核）</x:v>
      </x:c>
      <x:c r="V194" s="30" t="str">
        <x:v>关注下一年度开放指南</x:v>
      </x:c>
      <x:c r="W194" s="30" t="str">
        <x:v>清华以外在岗博士；重点至少12万、面上至少5万；每年受理一次；成果署名/经费外拨见官网</x:v>
      </x:c>
      <x:c r="X194" s="30" t="str">
        <x:v>共有基线v0.8</x:v>
      </x:c>
      <x:c r="Y194" s="30" t="str">
        <x:v>v0.8:M154</x:v>
      </x:c>
      <x:c r="Z194" s="30" t="str">
        <x:v>原编号保留</x:v>
      </x:c>
    </x:row>
    <x:row r="195" ht="36" customHeight="1">
      <x:c r="A195" s="30" t="str">
        <x:v>M172</x:v>
      </x:c>
      <x:c r="B195" s="30" t="str">
        <x:v>开放基金/课题候选</x:v>
      </x:c>
      <x:c r="C195" s="30" t="str">
        <x:v>南京信息工程大学</x:v>
      </x:c>
      <x:c r="D195" s="30" t="str">
        <x:v>水利部水文气象灾害机理与预警重点实验室</x:v>
      </x:c>
      <x:c r="E195" s="30" t="str">
        <x:v>2026-08-31</x:v>
      </x:c>
      <x:c r="F195" s="30" t="str">
        <x:v>已截止·历史储备</x:v>
      </x:c>
      <x:c r="G195" s="30" t="str">
        <x:v>低</x:v>
      </x:c>
      <x:c r="H195" s="30" t="str">
        <x:v>非线性预测、数据驱动系统、环境感知；水文气象限定</x:v>
      </x:c>
      <x:c r="I195" s="30" t="str">
        <x:v>与面上项目科学内容匹配程度依方向摘要判断；正式选题须核指南</x:v>
      </x:c>
      <x:c r="J195" s="30" t="str">
        <x:v>2万元</x:v>
      </x:c>
      <x:c r="K195" s="30" t="str">
        <x:v>经费/申报资格/限制：约2万元，领域不直接适合超声机器人</x:v>
      </x:c>
      <x:c r="L195" s="30" t="str">
        <x:v>固定成员合作要求待核</x:v>
      </x:c>
      <x:c r="M195" s="30" t="str">
        <x:v>是否外拨待核</x:v>
      </x:c>
      <x:c r="N195" s="30" t="str">
        <x:v>研究周期待核</x:v>
      </x:c>
      <x:c r="O195" s="30" t="str">
        <x:v>成果与署名规则待核</x:v>
      </x:c>
      <x:c r="P195" s="30" t="str">
        <x:v>申请书、盖章及提交方式待核</x:v>
      </x:c>
      <x:c r="Q195" s="30" t="str">
        <x:v>https://hymed.nuist.edu.cn/2026/0809/c8032a300578/page.htm</x:v>
      </x:c>
      <x:c r="R195" s="30" t="str"/>
      <x:c r="S195" s="30" t="str">
        <x:v>仅继承来源信息/待核</x:v>
      </x:c>
      <x:c r="T195" s="30" t="str">
        <x:v>缺逐附件完成证据/不适用</x:v>
      </x:c>
      <x:c r="U195" s="30" t="str">
        <x:v>2026-10-08（资料核对；并非所有项目重新官网复核）</x:v>
      </x:c>
      <x:c r="V195" s="30" t="str">
        <x:v>关注下一年度开放指南</x:v>
      </x:c>
      <x:c r="W195" s="30" t="str">
        <x:v>经费/申报资格/限制：约2万元，领域不直接适合超声机器人</x:v>
      </x:c>
      <x:c r="X195" s="30" t="str">
        <x:v>共有基线v0.8</x:v>
      </x:c>
      <x:c r="Y195" s="30" t="str">
        <x:v>v0.8:M172</x:v>
      </x:c>
      <x:c r="Z195" s="30" t="str">
        <x:v>原编号保留</x:v>
      </x:c>
    </x:row>
    <x:row r="196" ht="36" customHeight="1">
      <x:c r="A196" s="30" t="str">
        <x:v>M148</x:v>
      </x:c>
      <x:c r="B196" s="30" t="str">
        <x:v>开放基金/课题候选</x:v>
      </x:c>
      <x:c r="C196" s="30" t="str">
        <x:v>中国标准化研究院</x:v>
      </x:c>
      <x:c r="D196" s="30" t="str">
        <x:v>人因与工效学重点实验室等多平台联合（2026）</x:v>
      </x:c>
      <x:c r="E196" s="30" t="str">
        <x:v>2026-09-24</x:v>
      </x:c>
      <x:c r="F196" s="30" t="str">
        <x:v>已截止·历史储备</x:v>
      </x:c>
      <x:c r="G196" s="30" t="str">
        <x:v>低</x:v>
      </x:c>
      <x:c r="H196" s="30" t="str">
        <x:v>匹配研究方向：人机几何适配、人体皮肤软组织接触压力模型、智能自动化实验系统；部分科学技术交集</x:v>
      </x:c>
      <x:c r="I196" s="30" t="str">
        <x:v>与面上项目科学内容匹配程度依方向摘要判断；正式选题须核指南</x:v>
      </x:c>
      <x:c r="J196" s="30" t="str">
        <x:v>一般不超过10万、重点不超过15万（历史记录）</x:v>
      </x:c>
      <x:c r="K196" s="30" t="str">
        <x:v>申请资格待核</x:v>
      </x:c>
      <x:c r="L196" s="30" t="str">
        <x:v>固定成员合作要求待核</x:v>
      </x:c>
      <x:c r="M196" s="30" t="str">
        <x:v>是否外拨待核</x:v>
      </x:c>
      <x:c r="N196" s="30" t="str">
        <x:v>研究周期待核</x:v>
      </x:c>
      <x:c r="O196" s="30" t="str">
        <x:v>成果与署名规则待核</x:v>
      </x:c>
      <x:c r="P196" s="30" t="str">
        <x:v>申请书、盖章及提交方式待核</x:v>
      </x:c>
      <x:c r="Q196" s="30" t="str">
        <x:v>https://www.cnis.ac.cn/tzgg/202609/t20260904_63600.html</x:v>
      </x:c>
      <x:c r="R196" s="30" t="str"/>
      <x:c r="S196" s="30" t="str">
        <x:v>仅继承来源信息/待核</x:v>
      </x:c>
      <x:c r="T196" s="30" t="str">
        <x:v>缺逐附件完成证据/不适用</x:v>
      </x:c>
      <x:c r="U196" s="30" t="str">
        <x:v>2026-10-08（资料核对；并非所有项目重新官网复核）</x:v>
      </x:c>
      <x:c r="V196" s="30" t="str">
        <x:v>关注下一年度开放指南</x:v>
      </x:c>
      <x:c r="W196" s="30" t="str">
        <x:v>申请资格待核</x:v>
      </x:c>
      <x:c r="X196" s="30" t="str">
        <x:v>共有基线v0.8</x:v>
      </x:c>
      <x:c r="Y196" s="30" t="str">
        <x:v>v0.8:M148</x:v>
      </x:c>
      <x:c r="Z196" s="30" t="str">
        <x:v>原编号保留</x:v>
      </x:c>
    </x:row>
    <x:row r="197" ht="36" customHeight="1">
      <x:c r="A197" s="30" t="str">
        <x:v>M027</x:v>
      </x:c>
      <x:c r="B197" s="30" t="str">
        <x:v>开放基金/课题候选</x:v>
      </x:c>
      <x:c r="C197" s="30" t="str">
        <x:v>海南大学</x:v>
      </x:c>
      <x:c r="D197" s="30" t="str">
        <x:v>数字医学工程全国重点实验室</x:v>
      </x:c>
      <x:c r="E197" s="30" t="str">
        <x:v>2026-09-30</x:v>
      </x:c>
      <x:c r="F197" s="30" t="str">
        <x:v>已截止·历史储备</x:v>
      </x:c>
      <x:c r="G197" s="30" t="str">
        <x:v>低</x:v>
      </x:c>
      <x:c r="H197" s="30" t="str">
        <x:v>数字人体；生物医学建模；医学数据融合；智能诊疗</x:v>
      </x:c>
      <x:c r="I197" s="30" t="str">
        <x:v>与面上项目科学内容匹配程度依方向摘要判断；正式选题须核指南</x:v>
      </x:c>
      <x:c r="J197" s="30" t="str">
        <x:v>未记录／待核</x:v>
      </x:c>
      <x:c r="K197" s="30" t="str">
        <x:v>高级职称；合作要求、经费管理特殊</x:v>
      </x:c>
      <x:c r="L197" s="30" t="str">
        <x:v>固定成员合作要求待核</x:v>
      </x:c>
      <x:c r="M197" s="30" t="str">
        <x:v>是否外拨待核</x:v>
      </x:c>
      <x:c r="N197" s="30" t="str">
        <x:v>研究周期待核</x:v>
      </x:c>
      <x:c r="O197" s="30" t="str">
        <x:v>成果与署名规则待核</x:v>
      </x:c>
      <x:c r="P197" s="30" t="str">
        <x:v>申请书、盖章及提交方式待核</x:v>
      </x:c>
      <x:c r="Q197" s="30" t="str">
        <x:v>https://bme.hainanu.edu.cn/info/1051/11911.htm</x:v>
      </x:c>
      <x:c r="R197" s="30" t="str">
        <x:v>https://bme.hainanu.edu.cn/info/1051/11911.htm</x:v>
      </x:c>
      <x:c r="S197" s="30" t="str">
        <x:v>来源档案写明核过官网</x:v>
      </x:c>
      <x:c r="T197" s="30" t="str">
        <x:v>缺逐附件完成证据/不适用</x:v>
      </x:c>
      <x:c r="U197" s="30" t="str">
        <x:v>2026-10-08（资料核对；并非所有项目重新官网复核）</x:v>
      </x:c>
      <x:c r="V197" s="30" t="str">
        <x:v>关注下一年度开放指南</x:v>
      </x:c>
      <x:c r="W197" s="30" t="str">
        <x:v>高级职称；合作要求、经费管理特殊</x:v>
      </x:c>
      <x:c r="X197" s="30" t="str">
        <x:v>共有基线v0.8</x:v>
      </x:c>
      <x:c r="Y197" s="30" t="str">
        <x:v>v0.8:M027</x:v>
      </x:c>
      <x:c r="Z197" s="30" t="str">
        <x:v>原编号保留</x:v>
      </x:c>
    </x:row>
    <x:row r="198" ht="36" customHeight="1">
      <x:c r="A198" s="30" t="str">
        <x:v>M131</x:v>
      </x:c>
      <x:c r="B198" s="30" t="str">
        <x:v>开放基金/课题候选</x:v>
      </x:c>
      <x:c r="C198" s="30" t="str">
        <x:v>北京·先进越野系统技术全国重点实验室</x:v>
      </x:c>
      <x:c r="D198" s="30" t="str">
        <x:v>2026年度对外开放基金</x:v>
      </x:c>
      <x:c r="E198" s="30" t="str">
        <x:v>2026-09-30</x:v>
      </x:c>
      <x:c r="F198" s="30" t="str">
        <x:v>已截止·历史储备</x:v>
      </x:c>
      <x:c r="G198" s="30" t="str">
        <x:v>低</x:v>
      </x:c>
      <x:c r="H198" s="30" t="str">
        <x:v>方向/边界：世界模型、自主感知、具身作业稳定性；越野平台与目标作业强绑定</x:v>
      </x:c>
      <x:c r="I198" s="30" t="str">
        <x:v>与面上项目科学内容匹配程度依方向摘要判断；正式选题须核指南</x:v>
      </x:c>
      <x:c r="J198" s="30" t="str">
        <x:v>5—10万元、重点20—30万元</x:v>
      </x:c>
      <x:c r="K198" s="30" t="str">
        <x:v>资助/资格/证据：一般5—10万元、重点20—30万元；博士或高级职称；校方转发实验室正式通知</x:v>
      </x:c>
      <x:c r="L198" s="30" t="str">
        <x:v>固定成员合作要求待核</x:v>
      </x:c>
      <x:c r="M198" s="30" t="str">
        <x:v>是否外拨待核</x:v>
      </x:c>
      <x:c r="N198" s="30" t="str">
        <x:v>研究周期待核</x:v>
      </x:c>
      <x:c r="O198" s="30" t="str">
        <x:v>成果与署名规则待核</x:v>
      </x:c>
      <x:c r="P198" s="30" t="str">
        <x:v>申请书、盖章及提交方式待核</x:v>
      </x:c>
      <x:c r="Q198" s="30" t="str">
        <x:v>https://keyanchu.syuct.edu.cn/info/1028/2240.htm</x:v>
      </x:c>
      <x:c r="R198" s="30" t="str"/>
      <x:c r="S198" s="30" t="str">
        <x:v>仅继承来源信息/待核</x:v>
      </x:c>
      <x:c r="T198" s="30" t="str">
        <x:v>缺逐附件完成证据/不适用</x:v>
      </x:c>
      <x:c r="U198" s="30" t="str">
        <x:v>2026-10-08（资料核对；并非所有项目重新官网复核）</x:v>
      </x:c>
      <x:c r="V198" s="30" t="str">
        <x:v>关注下一年度开放指南</x:v>
      </x:c>
      <x:c r="W198" s="30" t="str">
        <x:v>资助/资格/证据：一般5—10万元、重点20—30万元；博士或高级职称；校方转发实验室正式通知</x:v>
      </x:c>
      <x:c r="X198" s="30" t="str">
        <x:v>共有基线v0.8</x:v>
      </x:c>
      <x:c r="Y198" s="30" t="str">
        <x:v>v0.8:M131</x:v>
      </x:c>
      <x:c r="Z198" s="30" t="str">
        <x:v>原编号保留</x:v>
      </x:c>
    </x:row>
    <x:row r="199" ht="36" customHeight="1">
      <x:c r="A199" s="30" t="str">
        <x:v>M177</x:v>
      </x:c>
      <x:c r="B199" s="30" t="str">
        <x:v>开放基金/课题候选</x:v>
      </x:c>
      <x:c r="C199" s="30" t="str">
        <x:v>南方科技大学</x:v>
      </x:c>
      <x:c r="D199" s="30" t="str">
        <x:v>量子功能材料全国重点实验室</x:v>
      </x:c>
      <x:c r="E199" s="30" t="str">
        <x:v>2026-09-30</x:v>
      </x:c>
      <x:c r="F199" s="30" t="str">
        <x:v>已截止·历史储备</x:v>
      </x:c>
      <x:c r="G199" s="30" t="str">
        <x:v>低</x:v>
      </x:c>
      <x:c r="H199" s="30" t="str">
        <x:v>材料和智能表征，主要为量子材料研究；直接匹配很低</x:v>
      </x:c>
      <x:c r="I199" s="30" t="str">
        <x:v>与面上项目科学内容匹配程度依方向摘要判断；正式选题须核指南</x:v>
      </x:c>
      <x:c r="J199" s="30" t="str">
        <x:v>5-10万元</x:v>
      </x:c>
      <x:c r="K199" s="30" t="str">
        <x:v>经费/申报资格/限制：约5-10万元，材料主题限定</x:v>
      </x:c>
      <x:c r="L199" s="30" t="str">
        <x:v>固定成员合作要求待核</x:v>
      </x:c>
      <x:c r="M199" s="30" t="str">
        <x:v>是否外拨待核</x:v>
      </x:c>
      <x:c r="N199" s="30" t="str">
        <x:v>研究周期待核</x:v>
      </x:c>
      <x:c r="O199" s="30" t="str">
        <x:v>成果与署名规则待核</x:v>
      </x:c>
      <x:c r="P199" s="30" t="str">
        <x:v>申请书、盖章及提交方式待核</x:v>
      </x:c>
      <x:c r="Q199" s="30" t="str">
        <x:v>https://sklqfm.sustech.edu.cn/projects/1281.html</x:v>
      </x:c>
      <x:c r="R199" s="30" t="str"/>
      <x:c r="S199" s="30" t="str">
        <x:v>仅继承来源信息/待核</x:v>
      </x:c>
      <x:c r="T199" s="30" t="str">
        <x:v>缺逐附件完成证据/不适用</x:v>
      </x:c>
      <x:c r="U199" s="30" t="str">
        <x:v>2026-10-08（资料核对；并非所有项目重新官网复核）</x:v>
      </x:c>
      <x:c r="V199" s="30" t="str">
        <x:v>关注下一年度开放指南</x:v>
      </x:c>
      <x:c r="W199" s="30" t="str">
        <x:v>经费/申报资格/限制：约5-10万元，材料主题限定</x:v>
      </x:c>
      <x:c r="X199" s="30" t="str">
        <x:v>共有基线v0.8</x:v>
      </x:c>
      <x:c r="Y199" s="30" t="str">
        <x:v>v0.8:M177</x:v>
      </x:c>
      <x:c r="Z199" s="30" t="str">
        <x:v>原编号保留</x:v>
      </x:c>
    </x:row>
    <x:row r="200" ht="36" customHeight="1">
      <x:c r="A200" s="30" t="str">
        <x:v>M018</x:v>
      </x:c>
      <x:c r="B200" s="30" t="str">
        <x:v>开放基金/课题候选</x:v>
      </x:c>
      <x:c r="C200" s="30" t="str">
        <x:v>安徽理工大学</x:v>
      </x:c>
      <x:c r="D200" s="30" t="str">
        <x:v>煤炭无人化开采数智技术全国重点实验室</x:v>
      </x:c>
      <x:c r="E200" s="30" t="str">
        <x:v>2026-10-05</x:v>
      </x:c>
      <x:c r="F200" s="30" t="str">
        <x:v>已截止·历史储备</x:v>
      </x:c>
      <x:c r="G200" s="30" t="str">
        <x:v>低</x:v>
      </x:c>
      <x:c r="H200" s="30" t="str">
        <x:v>矿用机器人自适应控制；无人开采装备/矿区智能感知</x:v>
      </x:c>
      <x:c r="I200" s="30" t="str">
        <x:v>环境约束和研究应用对象与医学超声差异大</x:v>
      </x:c>
      <x:c r="J200" s="30" t="str">
        <x:v>一般15–20万元；重点60–100万元</x:v>
      </x:c>
      <x:c r="K200" s="30" t="str">
        <x:v>博士或副高及以上；同年牵头限1项</x:v>
      </x:c>
      <x:c r="L200" s="30" t="str">
        <x:v>结题论文第一/通讯须有固定成员；发明专利至少1项固定成员第一发明人</x:v>
      </x:c>
      <x:c r="M200" s="30" t="str">
        <x:v>50%立项后外拨、50%验收后外拨</x:v>
      </x:c>
      <x:c r="N200" s="30" t="str">
        <x:v>2年</x:v>
      </x:c>
      <x:c r="O200" s="30" t="str">
        <x:v>一般：2篇符合标准的高水平论文+2件受理发明专利；成果第一单位为实验室</x:v>
      </x:c>
      <x:c r="P200" s="30" t="str">
        <x:v>电子Word及签章扫描PDF邮件，10月5日已截止</x:v>
      </x:c>
      <x:c r="Q200" s="30" t="str">
        <x:v>https://cdsys.aust.edu.cn/info/1021/2502.htm</x:v>
      </x:c>
      <x:c r="R200" s="30" t="str">
        <x:v>https://cdsys.aust.edu.cn/info/1021/2502.htm</x:v>
      </x:c>
      <x:c r="S200" s="30" t="str">
        <x:v>本轮已核官方公告正文</x:v>
      </x:c>
      <x:c r="T200" s="30" t="str">
        <x:v>缺逐附件完成证据/不适用</x:v>
      </x:c>
      <x:c r="U200" s="30" t="str">
        <x:v>2026-10-08（资料核对；并非所有项目重新官网复核）</x:v>
      </x:c>
      <x:c r="V200" s="30" t="str">
        <x:v>关注下一年度开放指南</x:v>
      </x:c>
      <x:c r="W200" s="30" t="str">
        <x:v>矿业场景限制</x:v>
      </x:c>
      <x:c r="X200" s="30" t="str">
        <x:v>共有基线v0.8</x:v>
      </x:c>
      <x:c r="Y200" s="30" t="str">
        <x:v>v0.8:M018</x:v>
      </x:c>
      <x:c r="Z200" s="30" t="str">
        <x:v>原编号保留</x:v>
      </x:c>
    </x:row>
    <x:row r="201" ht="36" customHeight="1">
      <x:c r="A201" s="30" t="str">
        <x:v>M138</x:v>
      </x:c>
      <x:c r="B201" s="30" t="str">
        <x:v>仅校内/不属于对外基金</x:v>
      </x:c>
      <x:c r="C201" s="30" t="str">
        <x:v>北京·清华大学—美团</x:v>
      </x:c>
      <x:c r="D201" s="30" t="str">
        <x:v>2026具身智能科研专项（校内人员限定，非外部开放基金）</x:v>
      </x:c>
      <x:c r="E201" s="30" t="str">
        <x:v>2026-10-18</x:v>
      </x:c>
      <x:c r="F201" s="30" t="str">
        <x:v>外部不能申报</x:v>
      </x:c>
      <x:c r="G201" s="30" t="str">
        <x:v>低</x:v>
      </x:c>
      <x:c r="H201" s="30" t="str">
        <x:v>方向/边界：具身智能Agent、VLA与世界模型、无人机自主任务；不是医疗机器人开放课题</x:v>
      </x:c>
      <x:c r="I201" s="30" t="str">
        <x:v>与面上项目科学内容匹配程度依方向摘要判断；正式选题须核指南</x:v>
      </x:c>
      <x:c r="J201" s="30" t="str">
        <x:v>30万元/6—12个月</x:v>
      </x:c>
      <x:c r="K201" s="30" t="str">
        <x:v>资助/资格/证据：每项约30万元/6—12个月；只对清华大学全职教师和研究人员开放。该公告中的LongCat Token计划虽向全国高校开放，但属于算力/Token资源，不是现金科研开放基金；不得视为外校直接可申请的课题</x:v>
      </x:c>
      <x:c r="L201" s="30" t="str">
        <x:v>固定成员合作要求待核</x:v>
      </x:c>
      <x:c r="M201" s="30" t="str">
        <x:v>是否外拨待核</x:v>
      </x:c>
      <x:c r="N201" s="30" t="str">
        <x:v>研究周期待核</x:v>
      </x:c>
      <x:c r="O201" s="30" t="str">
        <x:v>成果与署名规则待核</x:v>
      </x:c>
      <x:c r="P201" s="30" t="str">
        <x:v>申请书、盖章及提交方式待核</x:v>
      </x:c>
      <x:c r="Q201" s="30" t="str">
        <x:v>https://www.ee.tsinghua.edu.cn/info/1076/5399.htm</x:v>
      </x:c>
      <x:c r="R201" s="30" t="str"/>
      <x:c r="S201" s="30" t="str">
        <x:v>仅继承来源信息/待核</x:v>
      </x:c>
      <x:c r="T201" s="30" t="str">
        <x:v>缺逐附件完成证据/不适用</x:v>
      </x:c>
      <x:c r="U201" s="30" t="str">
        <x:v>2026-10-08（资料核对；并非所有项目重新官网复核）</x:v>
      </x:c>
      <x:c r="V201" s="30" t="str">
        <x:v>查资格/联系实验室合作者</x:v>
      </x:c>
      <x:c r="W201" s="30" t="str">
        <x:v>资助/资格/证据：每项约30万元/6—12个月；只对清华大学全职教师和研究人员开放。该公告中的LongCat Token计划虽向全国高校开放，但属于算力/Token资源，不是现金科研开放基金；不得视为外校直接可申请的课题</x:v>
      </x:c>
      <x:c r="X201" s="30" t="str">
        <x:v>共有基线v0.8</x:v>
      </x:c>
      <x:c r="Y201" s="30" t="str">
        <x:v>v0.8:M138</x:v>
      </x:c>
      <x:c r="Z201" s="30" t="str">
        <x:v>原编号保留</x:v>
      </x:c>
    </x:row>
    <x:row r="202" ht="36" customHeight="1">
      <x:c r="A202" s="30" t="str">
        <x:v>F001</x:v>
      </x:c>
      <x:c r="B202" s="30" t="str">
        <x:v>其他资助（非开放基金）</x:v>
      </x:c>
      <x:c r="C202" s="30" t="str">
        <x:v>高校产学研专项</x:v>
      </x:c>
      <x:c r="D202" s="30" t="str">
        <x:v>2026中国高校产学研创新基金迈瑞专项</x:v>
      </x:c>
      <x:c r="E202" s="30" t="str">
        <x:v>2026-11-06</x:v>
      </x:c>
      <x:c r="F202" s="30" t="str">
        <x:v>旁支资助·另行确认</x:v>
      </x:c>
      <x:c r="G202" s="30" t="str">
        <x:v>高</x:v>
      </x:c>
      <x:c r="H202" s="30" t="str">
        <x:v>医工/超声，需仔细核附件资格、IP</x:v>
      </x:c>
      <x:c r="I202" s="30" t="str">
        <x:v>不是实验室开放基金；另行按本专项指南申报</x:v>
      </x:c>
      <x:c r="J202" s="30" t="str">
        <x:v>≥10万元总支持；其中科研经费≥50%</x:v>
      </x:c>
      <x:c r="K202" s="30" t="str">
        <x:v>专项系统和依托单位资格待核</x:v>
      </x:c>
      <x:c r="L202" s="30" t="str">
        <x:v>以专项指南为准</x:v>
      </x:c>
      <x:c r="M202" s="30" t="str">
        <x:v>需区分科研经费与软硬件支持</x:v>
      </x:c>
      <x:c r="N202" s="30" t="str">
        <x:v>2027-01—12</x:v>
      </x:c>
      <x:c r="O202" s="30" t="str">
        <x:v>知识产权归资助方和课题承担单位共有</x:v>
      </x:c>
      <x:c r="P202" s="30" t="str">
        <x:v>系统上传盖章PDF + 纸质1份邮寄，11月6日截止</x:v>
      </x:c>
      <x:c r="Q202" s="30" t="str">
        <x:v>https://www.cutech.edu.cn/detail/46-839</x:v>
      </x:c>
      <x:c r="R202" s="30" t="str"/>
      <x:c r="S202" s="30" t="str">
        <x:v>本轮核实官网公告正文</x:v>
      </x:c>
      <x:c r="T202" s="30" t="str">
        <x:v>专项指南附件待核</x:v>
      </x:c>
      <x:c r="U202" s="30" t="str">
        <x:v>2026-10-08（资料核对；并非所有项目重新官网复核）</x:v>
      </x:c>
      <x:c r="V202" s="30" t="str">
        <x:v>按非开放基金专项资格另行核实</x:v>
      </x:c>
      <x:c r="W202" s="30" t="str">
        <x:v>医工/超声，需仔细核附件资格、IP</x:v>
      </x:c>
      <x:c r="X202" s="30" t="str">
        <x:v>v1.1非开放基金旁支表</x:v>
      </x:c>
      <x:c r="Y202" s="30" t="str"/>
      <x:c r="Z202" s="30" t="str">
        <x:v>不计入实验室开放基金条数</x:v>
      </x:c>
    </x:row>
    <x:row r="203" ht="36" customHeight="1">
      <x:c r="A203" s="30" t="str">
        <x:v>F002</x:v>
      </x:c>
      <x:c r="B203" s="30" t="str">
        <x:v>其他资助（非开放基金）</x:v>
      </x:c>
      <x:c r="C203" s="30" t="str">
        <x:v>高校产学研专项</x:v>
      </x:c>
      <x:c r="D203" s="30" t="str">
        <x:v>2026中国高校产学研创新基金智能算力与先进测控专项</x:v>
      </x:c>
      <x:c r="E203" s="30" t="str">
        <x:v>2027-01-15</x:v>
      </x:c>
      <x:c r="F203" s="30" t="str">
        <x:v>旁支资助·另行确认</x:v>
      </x:c>
      <x:c r="G203" s="30" t="str">
        <x:v>中</x:v>
      </x:c>
      <x:c r="H203" s="30" t="str">
        <x:v>先进测控/具身，需核公告附件资格、软硬件与经费构成</x:v>
      </x:c>
      <x:c r="I203" s="30" t="str">
        <x:v>不是实验室开放基金；另行按本专项指南申报</x:v>
      </x:c>
      <x:c r="J203" s="30" t="str">
        <x:v>一般：总支持10–50万（科研经费5–25万）；重点：总支持50–200万（科研经费25–100万）</x:v>
      </x:c>
      <x:c r="K203" s="30" t="str">
        <x:v>专项系统和依托单位资格待核</x:v>
      </x:c>
      <x:c r="L203" s="30" t="str">
        <x:v>以专项指南为准</x:v>
      </x:c>
      <x:c r="M203" s="30" t="str">
        <x:v>需区分科研经费与软硬件支持</x:v>
      </x:c>
      <x:c r="N203" s="30" t="str">
        <x:v>2027-06—2028-12</x:v>
      </x:c>
      <x:c r="O203" s="30" t="str">
        <x:v>知识产权双方共有</x:v>
      </x:c>
      <x:c r="P203" s="30" t="str">
        <x:v>系统上传盖章PDF+纸质1份，2027年1月15日截止</x:v>
      </x:c>
      <x:c r="Q203" s="30" t="str">
        <x:v>https://www.cutech.edu.cn/detail/46-838</x:v>
      </x:c>
      <x:c r="R203" s="30" t="str"/>
      <x:c r="S203" s="30" t="str">
        <x:v>本轮核实官网公告正文</x:v>
      </x:c>
      <x:c r="T203" s="30" t="str">
        <x:v>专项指南附件待核</x:v>
      </x:c>
      <x:c r="U203" s="30" t="str">
        <x:v>2026-10-08（资料核对；并非所有项目重新官网复核）</x:v>
      </x:c>
      <x:c r="V203" s="30" t="str">
        <x:v>按非开放基金专项资格另行核实</x:v>
      </x:c>
      <x:c r="W203" s="30" t="str">
        <x:v>先进测控/具身，需核公告附件资格、软硬件与经费构成</x:v>
      </x:c>
      <x:c r="X203" s="30" t="str">
        <x:v>v1.1非开放基金旁支表</x:v>
      </x:c>
      <x:c r="Y203" s="30" t="str"/>
      <x:c r="Z203" s="30" t="str">
        <x:v>不计入实验室开放基金条数</x:v>
      </x:c>
    </x:row>
    <x:row r="204" ht="36" customHeight="1">
      <x:c r="A204" s="30" t="str">
        <x:v>F004</x:v>
      </x:c>
      <x:c r="B204" s="30" t="str">
        <x:v>其他资助（非开放基金）</x:v>
      </x:c>
      <x:c r="C204" s="30" t="str">
        <x:v>国家自然科学基金委</x:v>
      </x:c>
      <x:c r="D204" s="30" t="str">
        <x:v>NSFC空间智能与世界模型专项</x:v>
      </x:c>
      <x:c r="E204" s="30" t="str">
        <x:v>2026-10-18</x:v>
      </x:c>
      <x:c r="F204" s="30" t="str">
        <x:v>旁支资助·另行确认</x:v>
      </x:c>
      <x:c r="G204" s="30" t="str">
        <x:v>低</x:v>
      </x:c>
      <x:c r="H204" s="30" t="str">
        <x:v>NSFC正式系统登录指南与限制需另行确认</x:v>
      </x:c>
      <x:c r="I204" s="30" t="str">
        <x:v>不是实验室开放基金；另行按本专项指南申报</x:v>
      </x:c>
      <x:c r="J204" s="30" t="str">
        <x:v>金额/软硬件构成见专项附件</x:v>
      </x:c>
      <x:c r="K204" s="30" t="str">
        <x:v>专项系统和依托单位资格待核</x:v>
      </x:c>
      <x:c r="L204" s="30" t="str">
        <x:v>以专项指南为准</x:v>
      </x:c>
      <x:c r="M204" s="30" t="str">
        <x:v>需区分科研经费与软硬件支持</x:v>
      </x:c>
      <x:c r="N204" s="30" t="str">
        <x:v>见专项指南</x:v>
      </x:c>
      <x:c r="O204" s="30" t="str">
        <x:v>成果/知识产权及专项义务须核</x:v>
      </x:c>
      <x:c r="P204" s="30" t="str">
        <x:v>专项申报系统及纸质材料（详见指南）</x:v>
      </x:c>
      <x:c r="Q204" s="30" t="str">
        <x:v>https://www.nsfc.gov.cn/p1/3381/2824/142425.html</x:v>
      </x:c>
      <x:c r="R204" s="30" t="str"/>
      <x:c r="S204" s="30" t="str">
        <x:v>历史文件来源</x:v>
      </x:c>
      <x:c r="T204" s="30" t="str">
        <x:v>专项指南附件待核</x:v>
      </x:c>
      <x:c r="U204" s="30" t="str">
        <x:v>2026-10-08（资料核对；并非所有项目重新官网复核）</x:v>
      </x:c>
      <x:c r="V204" s="30" t="str">
        <x:v>按非开放基金专项资格另行核实</x:v>
      </x:c>
      <x:c r="W204" s="30" t="str">
        <x:v>NSFC正式系统登录指南与限制需另行确认</x:v>
      </x:c>
      <x:c r="X204" s="30" t="str">
        <x:v>v1.1非开放基金旁支表</x:v>
      </x:c>
      <x:c r="Y204" s="30" t="str"/>
      <x:c r="Z204" s="30" t="str">
        <x:v>不计入实验室开放基金条数</x:v>
      </x:c>
    </x:row>
    <x:row r="205" ht="36" customHeight="1">
      <x:c r="A205" s="30" t="str">
        <x:v>F003</x:v>
      </x:c>
      <x:c r="B205" s="30" t="str">
        <x:v>其他资助（非开放基金）</x:v>
      </x:c>
      <x:c r="C205" s="30" t="str">
        <x:v>国家自然科学基金委</x:v>
      </x:c>
      <x:c r="D205" s="30" t="str">
        <x:v>NSFC深圳机器人联合基金重大专项</x:v>
      </x:c>
      <x:c r="E205" s="30" t="str">
        <x:v>2026-10-29</x:v>
      </x:c>
      <x:c r="F205" s="30" t="str">
        <x:v>旁支资助·另行确认</x:v>
      </x:c>
      <x:c r="G205" s="30" t="str">
        <x:v>低</x:v>
      </x:c>
      <x:c r="H205" s="30" t="str">
        <x:v>NSFC系统资格、研究内容/地区合作限制需另行确认</x:v>
      </x:c>
      <x:c r="I205" s="30" t="str">
        <x:v>不是实验室开放基金；另行按本专项指南申报</x:v>
      </x:c>
      <x:c r="J205" s="30" t="str">
        <x:v>金额/软硬件构成见专项附件</x:v>
      </x:c>
      <x:c r="K205" s="30" t="str">
        <x:v>专项系统和依托单位资格待核</x:v>
      </x:c>
      <x:c r="L205" s="30" t="str">
        <x:v>以专项指南为准</x:v>
      </x:c>
      <x:c r="M205" s="30" t="str">
        <x:v>需区分科研经费与软硬件支持</x:v>
      </x:c>
      <x:c r="N205" s="30" t="str">
        <x:v>见专项指南</x:v>
      </x:c>
      <x:c r="O205" s="30" t="str">
        <x:v>成果/知识产权及专项义务须核</x:v>
      </x:c>
      <x:c r="P205" s="30" t="str">
        <x:v>专项申报系统及纸质材料（详见指南）</x:v>
      </x:c>
      <x:c r="Q205" s="30" t="str">
        <x:v>https://www.nsfc.gov.cn/p1/3381/2824/143111.html</x:v>
      </x:c>
      <x:c r="R205" s="30" t="str"/>
      <x:c r="S205" s="30" t="str">
        <x:v>历史文件来源</x:v>
      </x:c>
      <x:c r="T205" s="30" t="str">
        <x:v>专项指南附件待核</x:v>
      </x:c>
      <x:c r="U205" s="30" t="str">
        <x:v>2026-10-08（资料核对；并非所有项目重新官网复核）</x:v>
      </x:c>
      <x:c r="V205" s="30" t="str">
        <x:v>按非开放基金专项资格另行核实</x:v>
      </x:c>
      <x:c r="W205" s="30" t="str">
        <x:v>NSFC系统资格、研究内容/地区合作限制需另行确认</x:v>
      </x:c>
      <x:c r="X205" s="30" t="str">
        <x:v>v1.1非开放基金旁支表</x:v>
      </x:c>
      <x:c r="Y205" s="30" t="str"/>
      <x:c r="Z205" s="30" t="str">
        <x:v>不计入实验室开放基金条数</x:v>
      </x:c>
    </x:row>
  </x:sheetData>
  <x:mergeCells>
    <x:mergeCell ref="A1:Z1"/>
    <x:mergeCell ref="A2:Z2"/>
  </x:mergeCells>
  <x:conditionalFormatting sqref="G7:G205">
    <x:cfRule type="expression" dxfId="4" priority="1">
      <x:formula>$G7="高"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da4d8913574231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5" hidden="0" customWidth="1"/>
    <x:col min="4" max="4" width="35" hidden="0" customWidth="1"/>
    <x:col min="5" max="5" width="53" hidden="0" customWidth="1"/>
    <x:col min="6" max="6" width="45" hidden="0" customWidth="1"/>
    <x:col min="7" max="7" width="17" hidden="0" customWidth="1"/>
    <x:col min="8" max="8" width="42" hidden="0" customWidth="1"/>
    <x:col min="9" max="9" width="43" hidden="0" customWidth="1"/>
  </x:cols>
  <x:sheetData>
    <x:row r="1" ht="36" customHeight="1">
      <x:c r="A1" s="4" t="str">
        <x:v>科研机构与实验室｜覆盖日志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11" t="str">
        <x:v>七家核心机构 + 137条地区/全国机构母表 = 144条机构覆盖记录；部分学校在不同地区历史证据可能重复，仍须逐相关实验室补齐。</x:v>
      </x:c>
      <x:c r="B2" s="11"/>
      <x:c r="C2" s="11"/>
      <x:c r="D2" s="11"/>
      <x:c r="E2" s="11"/>
      <x:c r="F2" s="11"/>
      <x:c r="G2" s="11"/>
      <x:c r="H2" s="11"/>
      <x:c r="I2" s="11"/>
    </x:row>
    <x:row r="3" ht="26" customHeight="1">
      <x:c r="A3" s="18" t="str">
        <x:v>核心机构</x:v>
      </x:c>
      <x:c r="B3" s="18" t="n">
        <x:v>7</x:v>
      </x:c>
      <x:c r="C3" s="18" t="str">
        <x:v>地区及全国母表</x:v>
      </x:c>
      <x:c r="D3" s="18" t="n">
        <x:v>137</x:v>
      </x:c>
      <x:c r="E3" s="18"/>
      <x:c r="F3" s="18"/>
      <x:c r="G3" s="18"/>
      <x:c r="H3" s="18"/>
      <x:c r="I3" s="18"/>
    </x:row>
    <x:row r="6" ht="31" customHeight="1">
      <x:c r="A6" s="25" t="str">
        <x:v>覆盖层次</x:v>
      </x:c>
      <x:c r="B6" s="25" t="str">
        <x:v>单位/平台</x:v>
      </x:c>
      <x:c r="C6" s="25" t="str">
        <x:v>优先级</x:v>
      </x:c>
      <x:c r="D6" s="25" t="str">
        <x:v>合作关系/地区</x:v>
      </x:c>
      <x:c r="E6" s="25" t="str">
        <x:v>已检索证据</x:v>
      </x:c>
      <x:c r="F6" s="25" t="str">
        <x:v>仍需查的内容</x:v>
      </x:c>
      <x:c r="G6" s="25" t="str">
        <x:v>机构相关平台完成?</x:v>
      </x:c>
      <x:c r="H6" s="25" t="str">
        <x:v>来源备注</x:v>
      </x:c>
      <x:c r="I6" s="25" t="str">
        <x:v>下一轮操作</x:v>
      </x:c>
    </x:row>
    <x:row r="7" ht="36" customHeight="1">
      <x:c r="A7" s="30" t="str">
        <x:v>核心关系机构</x:v>
      </x:c>
      <x:c r="B7" s="30" t="str">
        <x:v>香港理工大学</x:v>
      </x:c>
      <x:c r="C7" s="30" t="str">
        <x:v>P0</x:v>
      </x:c>
      <x:c r="D7" s="30" t="str">
        <x:v>杨晨光相关合作圈（用户提供）</x:v>
      </x:c>
      <x:c r="E7" s="30" t="str">
        <x:v>超精密加工全国重点实验室历史公告；机器人与具身智能联合实验室等平台；未见证明当期对外开放的指南</x:v>
      </x:c>
      <x:c r="F7" s="30" t="str">
        <x:v>机器人/医工、具身智能、控制团队平台逐项；2027指南与内地PI条件</x:v>
      </x:c>
      <x:c r="G7" s="30" t="str">
        <x:v>否</x:v>
      </x:c>
      <x:c r="H7" s="30" t="str">
        <x:v>两对话v0.9、v1.0、用户历史明确要求；不是机构全量验收</x:v>
      </x:c>
      <x:c r="I7" s="30" t="str">
        <x:v>优先按相关平台目录逐一核正式开放项目</x:v>
      </x:c>
    </x:row>
    <x:row r="8" ht="36" customHeight="1">
      <x:c r="A8" s="30" t="str">
        <x:v>核心关系机构</x:v>
      </x:c>
      <x:c r="B8" s="30" t="str">
        <x:v>澳门大学</x:v>
      </x:c>
      <x:c r="C8" s="30" t="str">
        <x:v>P0</x:v>
      </x:c>
      <x:c r="D8" s="30" t="str">
        <x:v>博士院校及Phillip Chen相关合作圈（用户提供）</x:v>
      </x:c>
      <x:c r="E8" s="30" t="str">
        <x:v>已找到多个历史开放项目指南；2026当期高关联开放期未证实</x:v>
      </x:c>
      <x:c r="F8" s="30" t="str">
        <x:v>人工智能、机器人、智能系统、医工；全国重点实验室及合作联合平台</x:v>
      </x:c>
      <x:c r="G8" s="30" t="str">
        <x:v>否</x:v>
      </x:c>
      <x:c r="H8" s="30" t="str">
        <x:v>两对话v0.9、v1.0、用户历史明确要求；不是机构全量验收</x:v>
      </x:c>
      <x:c r="I8" s="30" t="str">
        <x:v>优先按相关平台目录逐一核正式开放项目</x:v>
      </x:c>
    </x:row>
    <x:row r="9" ht="36" customHeight="1">
      <x:c r="A9" s="30" t="str">
        <x:v>核心关系机构</x:v>
      </x:c>
      <x:c r="B9" s="30" t="str">
        <x:v>华南理工大学</x:v>
      </x:c>
      <x:c r="C9" s="30" t="str">
        <x:v>P0</x:v>
      </x:c>
      <x:c r="D9" s="30" t="str">
        <x:v>硕士院校（用户提供）</x:v>
      </x:c>
      <x:c r="E9" s="30" t="str">
        <x:v>发光材料外校立项证据但不相关；机器人、自动化、医疗工程平台未完整查</x:v>
      </x:c>
      <x:c r="F9" s="30" t="str">
        <x:v>自主系统与网络控制、大数据与智能机器人、机械/医工逐个平台</x:v>
      </x:c>
      <x:c r="G9" s="30" t="str">
        <x:v>否</x:v>
      </x:c>
      <x:c r="H9" s="30" t="str">
        <x:v>两对话v0.9、v1.0、用户历史明确要求；不是机构全量验收</x:v>
      </x:c>
      <x:c r="I9" s="30" t="str">
        <x:v>优先按相关平台目录逐一核正式开放项目</x:v>
      </x:c>
    </x:row>
    <x:row r="10" ht="36" customHeight="1">
      <x:c r="A10" s="30" t="str">
        <x:v>核心关系机构</x:v>
      </x:c>
      <x:c r="B10" s="30" t="str">
        <x:v>南京信息工程大学</x:v>
      </x:c>
      <x:c r="C10" s="30" t="str">
        <x:v>P0</x:v>
      </x:c>
      <x:c r="D10" s="30" t="str">
        <x:v>用户当前单位（用户提供）</x:v>
      </x:c>
      <x:c r="E10" s="30" t="str">
        <x:v>复杂环境智能保障2026正式指南已截止；本校身份能否报待核；校科研处转载外部公告入口</x:v>
      </x:c>
      <x:c r="F10" s="30" t="str">
        <x:v>自动化/医工平台；校外开放课题转发台账；核本校人员资格</x:v>
      </x:c>
      <x:c r="G10" s="30" t="str">
        <x:v>否</x:v>
      </x:c>
      <x:c r="H10" s="30" t="str">
        <x:v>两对话v0.9、v1.0、用户历史明确要求；不是机构全量验收</x:v>
      </x:c>
      <x:c r="I10" s="30" t="str">
        <x:v>优先按相关平台目录逐一核正式开放项目</x:v>
      </x:c>
    </x:row>
    <x:row r="11" ht="36" customHeight="1">
      <x:c r="A11" s="30" t="str">
        <x:v>核心关系机构</x:v>
      </x:c>
      <x:c r="B11" s="30" t="str">
        <x:v>中国科学院自动化研究所</x:v>
      </x:c>
      <x:c r="C11" s="30" t="str">
        <x:v>P1</x:v>
      </x:c>
      <x:c r="D11" s="30" t="str">
        <x:v>用户称有熟人</x:v>
      </x:c>
      <x:c r="E11" s="30" t="str">
        <x:v>多模态人工智能系统和复杂系统认知与决策历史指南已查，均已截止</x:v>
      </x:c>
      <x:c r="F11" s="30" t="str">
        <x:v>其他医用机器人、智能系统/控制相关平台逐项核新指南及合作要求</x:v>
      </x:c>
      <x:c r="G11" s="30" t="str">
        <x:v>否</x:v>
      </x:c>
      <x:c r="H11" s="30" t="str">
        <x:v>两对话v0.9、v1.0、用户历史明确要求；不是机构全量验收</x:v>
      </x:c>
      <x:c r="I11" s="30" t="str">
        <x:v>优先按相关平台目录逐一核正式开放项目</x:v>
      </x:c>
    </x:row>
    <x:row r="12" ht="36" customHeight="1">
      <x:c r="A12" s="30" t="str">
        <x:v>核心关系机构</x:v>
      </x:c>
      <x:c r="B12" s="30" t="str">
        <x:v>西北工业大学</x:v>
      </x:c>
      <x:c r="C12" s="30" t="str">
        <x:v>P1</x:v>
      </x:c>
      <x:c r="D12" s="30" t="str">
        <x:v>用户称有熟人</x:v>
      </x:c>
      <x:c r="E12" s="30" t="str">
        <x:v>空天地海2027-2028年度历史公告及凝固技术、宁波研究院；核心机电机器人平台未完整查</x:v>
      </x:c>
      <x:c r="F12" s="30" t="str">
        <x:v>自动化学院、机电学院、机器人与智能控制平台逐个核查</x:v>
      </x:c>
      <x:c r="G12" s="30" t="str">
        <x:v>否</x:v>
      </x:c>
      <x:c r="H12" s="30" t="str">
        <x:v>两对话v0.9、v1.0、用户历史明确要求；不是机构全量验收</x:v>
      </x:c>
      <x:c r="I12" s="30" t="str">
        <x:v>优先按相关平台目录逐一核正式开放项目</x:v>
      </x:c>
    </x:row>
    <x:row r="13" ht="36" customHeight="1">
      <x:c r="A13" s="30" t="str">
        <x:v>核心关系机构</x:v>
      </x:c>
      <x:c r="B13" s="30" t="str">
        <x:v>重庆大学</x:v>
      </x:c>
      <x:c r="C13" s="30" t="str">
        <x:v>P1</x:v>
      </x:c>
      <x:c r="D13" s="30" t="str">
        <x:v>用户称有熟人</x:v>
      </x:c>
      <x:c r="E13" s="30" t="str">
        <x:v>高端装备机械传动、生物感知/多模态、CPS历史机制及山地城镇/山区土木线索</x:v>
      </x:c>
      <x:c r="F13" s="30" t="str">
        <x:v>复杂系统安全控制、生物流变、智慧无人系统和医工智能装备等平台逐个查</x:v>
      </x:c>
      <x:c r="G13" s="30" t="str">
        <x:v>否</x:v>
      </x:c>
      <x:c r="H13" s="30" t="str">
        <x:v>两对话v0.9、v1.0、用户历史明确要求；不是机构全量验收</x:v>
      </x:c>
      <x:c r="I13" s="30" t="str">
        <x:v>优先按相关平台目录逐一核正式开放项目</x:v>
      </x:c>
    </x:row>
    <x:row r="14" ht="36" customHeight="1">
      <x:c r="A14" s="30" t="str">
        <x:v>地区及全国母表</x:v>
      </x:c>
      <x:c r="B14" s="30" t="str">
        <x:v>南京大学</x:v>
      </x:c>
      <x:c r="C14" s="30" t="str">
        <x:v>P2重点地区</x:v>
      </x:c>
      <x:c r="D14" s="30" t="str">
        <x:v>A1 南京（985、211）</x:v>
      </x:c>
      <x:c r="E14" s="30" t="str">
        <x:v>已发现部分证据（仍非逐平台完成）：计算机软件新技术2026年历史指南；生命分析化学年度申报机制；关键地球物质2026指南</x:v>
      </x:c>
      <x:c r="F14" s="30" t="str">
        <x:v>对相关实验室逐个核正式开放指南及附件；若无公告记录已查未发现</x:v>
      </x:c>
      <x:c r="G14" s="30" t="str">
        <x:v>否</x:v>
      </x:c>
      <x:c r="H14" s="30" t="str">
        <x:v>v0.8地区机构样本清单或39所原985母表</x:v>
      </x:c>
      <x:c r="I14" s="30" t="str">
        <x:v>建立相关实验室清单，补查当年度正式指南</x:v>
      </x:c>
    </x:row>
    <x:row r="15" ht="36" customHeight="1">
      <x:c r="A15" s="30" t="str">
        <x:v>地区及全国母表</x:v>
      </x:c>
      <x:c r="B15" s="30" t="str">
        <x:v>东南大学</x:v>
      </x:c>
      <x:c r="C15" s="30" t="str">
        <x:v>P2重点地区</x:v>
      </x:c>
      <x:c r="D15" s="30" t="str">
        <x:v>A1 南京（985、211）</x:v>
      </x:c>
      <x:c r="E15" s="30" t="str">
        <x:v>已发现部分证据（仍非逐平台完成）：移动通信2027指南；热转换2026指南；复杂工程系统历年指南</x:v>
      </x:c>
      <x:c r="F15" s="30" t="str">
        <x:v>对相关实验室逐个核正式开放指南及附件；若无公告记录已查未发现</x:v>
      </x:c>
      <x:c r="G15" s="30" t="str">
        <x:v>否</x:v>
      </x:c>
      <x:c r="H15" s="30" t="str">
        <x:v>v0.8地区机构样本清单或39所原985母表</x:v>
      </x:c>
      <x:c r="I15" s="30" t="str">
        <x:v>建立相关实验室清单，补查当年度正式指南</x:v>
      </x:c>
    </x:row>
    <x:row r="16" ht="36" customHeight="1">
      <x:c r="A16" s="30" t="str">
        <x:v>地区及全国母表</x:v>
      </x:c>
      <x:c r="B16" s="30" t="str">
        <x:v>南京航空航天大学</x:v>
      </x:c>
      <x:c r="C16" s="30" t="str">
        <x:v>P2重点地区</x:v>
      </x:c>
      <x:c r="D16" s="30" t="str">
        <x:v>A1 南京（985、211）</x:v>
      </x:c>
      <x:c r="E16" s="30" t="str">
        <x:v>已发现部分证据（仍非逐平台完成）：结构力学2027仍在申报；空间感知2026已截止</x:v>
      </x:c>
      <x:c r="F16" s="30" t="str">
        <x:v>对相关实验室逐个核正式开放指南及附件；若无公告记录已查未发现</x:v>
      </x:c>
      <x:c r="G16" s="30" t="str">
        <x:v>否</x:v>
      </x:c>
      <x:c r="H16" s="30" t="str">
        <x:v>v0.8地区机构样本清单或39所原985母表</x:v>
      </x:c>
      <x:c r="I16" s="30" t="str">
        <x:v>建立相关实验室清单，补查当年度正式指南</x:v>
      </x:c>
    </x:row>
    <x:row r="17" ht="36" customHeight="1">
      <x:c r="A17" s="30" t="str">
        <x:v>地区及全国母表</x:v>
      </x:c>
      <x:c r="B17" s="30" t="str">
        <x:v>南京理工大学</x:v>
      </x:c>
      <x:c r="C17" s="30" t="str">
        <x:v>P2重点地区</x:v>
      </x:c>
      <x:c r="D17" s="30" t="str">
        <x:v>A1 南京（985、211）</x:v>
      </x:c>
      <x:c r="E17" s="30" t="str">
        <x:v>待逐平台核查；不得标记为无公开项目</x:v>
      </x:c>
      <x:c r="F17" s="30" t="str">
        <x:v>对相关实验室逐个核正式开放指南及附件；若无公告记录已查未发现</x:v>
      </x:c>
      <x:c r="G17" s="30" t="str">
        <x:v>否</x:v>
      </x:c>
      <x:c r="H17" s="30" t="str">
        <x:v>v0.8地区机构样本清单或39所原985母表</x:v>
      </x:c>
      <x:c r="I17" s="30" t="str">
        <x:v>建立相关实验室清单，补查当年度正式指南</x:v>
      </x:c>
    </x:row>
    <x:row r="18" ht="36" customHeight="1">
      <x:c r="A18" s="30" t="str">
        <x:v>地区及全国母表</x:v>
      </x:c>
      <x:c r="B18" s="30" t="str">
        <x:v>河海大学</x:v>
      </x:c>
      <x:c r="C18" s="30" t="str">
        <x:v>P2重点地区</x:v>
      </x:c>
      <x:c r="D18" s="30" t="str">
        <x:v>A1 南京（985、211）</x:v>
      </x:c>
      <x:c r="E18" s="30" t="str">
        <x:v>待逐平台核查；不得标记为无公开项目</x:v>
      </x:c>
      <x:c r="F18" s="30" t="str">
        <x:v>对相关实验室逐个核正式开放指南及附件；若无公告记录已查未发现</x:v>
      </x:c>
      <x:c r="G18" s="30" t="str">
        <x:v>否</x:v>
      </x:c>
      <x:c r="H18" s="30" t="str">
        <x:v>v0.8地区机构样本清单或39所原985母表</x:v>
      </x:c>
      <x:c r="I18" s="30" t="str">
        <x:v>建立相关实验室清单，补查当年度正式指南</x:v>
      </x:c>
    </x:row>
    <x:row r="19" ht="36" customHeight="1">
      <x:c r="A19" s="30" t="str">
        <x:v>地区及全国母表</x:v>
      </x:c>
      <x:c r="B19" s="30" t="str">
        <x:v>南京师范大学</x:v>
      </x:c>
      <x:c r="C19" s="30" t="str">
        <x:v>P2重点地区</x:v>
      </x:c>
      <x:c r="D19" s="30" t="str">
        <x:v>A1 南京（985、211）</x:v>
      </x:c>
      <x:c r="E19" s="30" t="str">
        <x:v>待逐平台核查；不得标记为无公开项目</x:v>
      </x:c>
      <x:c r="F19" s="30" t="str">
        <x:v>对相关实验室逐个核正式开放指南及附件；若无公告记录已查未发现</x:v>
      </x:c>
      <x:c r="G19" s="30" t="str">
        <x:v>否</x:v>
      </x:c>
      <x:c r="H19" s="30" t="str">
        <x:v>v0.8地区机构样本清单或39所原985母表</x:v>
      </x:c>
      <x:c r="I19" s="30" t="str">
        <x:v>建立相关实验室清单，补查当年度正式指南</x:v>
      </x:c>
    </x:row>
    <x:row r="20" ht="36" customHeight="1">
      <x:c r="A20" s="30" t="str">
        <x:v>地区及全国母表</x:v>
      </x:c>
      <x:c r="B20" s="30" t="str">
        <x:v>南京农业大学</x:v>
      </x:c>
      <x:c r="C20" s="30" t="str">
        <x:v>P2重点地区</x:v>
      </x:c>
      <x:c r="D20" s="30" t="str">
        <x:v>A1 南京（985、211）</x:v>
      </x:c>
      <x:c r="E20" s="30" t="str">
        <x:v>待逐平台核查；不得标记为无公开项目</x:v>
      </x:c>
      <x:c r="F20" s="30" t="str">
        <x:v>对相关实验室逐个核正式开放指南及附件；若无公告记录已查未发现</x:v>
      </x:c>
      <x:c r="G20" s="30" t="str">
        <x:v>否</x:v>
      </x:c>
      <x:c r="H20" s="30" t="str">
        <x:v>v0.8地区机构样本清单或39所原985母表</x:v>
      </x:c>
      <x:c r="I20" s="30" t="str">
        <x:v>建立相关实验室清单，补查当年度正式指南</x:v>
      </x:c>
    </x:row>
    <x:row r="21" ht="36" customHeight="1">
      <x:c r="A21" s="30" t="str">
        <x:v>地区及全国母表</x:v>
      </x:c>
      <x:c r="B21" s="30" t="str">
        <x:v>中国药科大学</x:v>
      </x:c>
      <x:c r="C21" s="30" t="str">
        <x:v>P2重点地区</x:v>
      </x:c>
      <x:c r="D21" s="30" t="str">
        <x:v>A1 南京（985、211）</x:v>
      </x:c>
      <x:c r="E21" s="30" t="str">
        <x:v>待逐平台核查；不得标记为无公开项目</x:v>
      </x:c>
      <x:c r="F21" s="30" t="str">
        <x:v>对相关实验室逐个核正式开放指南及附件；若无公告记录已查未发现</x:v>
      </x:c>
      <x:c r="G21" s="30" t="str">
        <x:v>否</x:v>
      </x:c>
      <x:c r="H21" s="30" t="str">
        <x:v>v0.8地区机构样本清单或39所原985母表</x:v>
      </x:c>
      <x:c r="I21" s="30" t="str">
        <x:v>建立相关实验室清单，补查当年度正式指南</x:v>
      </x:c>
    </x:row>
    <x:row r="22" ht="36" customHeight="1">
      <x:c r="A22" s="30" t="str">
        <x:v>地区及全国母表</x:v>
      </x:c>
      <x:c r="B22" s="30" t="str">
        <x:v>南京工业大学</x:v>
      </x:c>
      <x:c r="C22" s="30" t="str">
        <x:v>P2重点地区</x:v>
      </x:c>
      <x:c r="D22" s="30" t="str">
        <x:v>A2 南京（高水平双非及专业院校）</x:v>
      </x:c>
      <x:c r="E22" s="30" t="str">
        <x:v>已发现部分证据（仍非逐平台完成）：材料化学工程2026历史指南</x:v>
      </x:c>
      <x:c r="F22" s="30" t="str">
        <x:v>对相关实验室逐个核正式开放指南及附件；若无公告记录已查未发现</x:v>
      </x:c>
      <x:c r="G22" s="30" t="str">
        <x:v>否</x:v>
      </x:c>
      <x:c r="H22" s="30" t="str">
        <x:v>v0.8地区机构样本清单或39所原985母表</x:v>
      </x:c>
      <x:c r="I22" s="30" t="str">
        <x:v>建立相关实验室清单，补查当年度正式指南</x:v>
      </x:c>
    </x:row>
    <x:row r="23" ht="36" customHeight="1">
      <x:c r="A23" s="30" t="str">
        <x:v>地区及全国母表</x:v>
      </x:c>
      <x:c r="B23" s="30" t="str">
        <x:v>南京医科大学</x:v>
      </x:c>
      <x:c r="C23" s="30" t="str">
        <x:v>P2重点地区</x:v>
      </x:c>
      <x:c r="D23" s="30" t="str">
        <x:v>A2 南京（高水平双非及专业院校）</x:v>
      </x:c>
      <x:c r="E23" s="30" t="str">
        <x:v>已发现部分证据（仍非逐平台完成）：生殖医学与子代健康2026历史指南</x:v>
      </x:c>
      <x:c r="F23" s="30" t="str">
        <x:v>对相关实验室逐个核正式开放指南及附件；若无公告记录已查未发现</x:v>
      </x:c>
      <x:c r="G23" s="30" t="str">
        <x:v>否</x:v>
      </x:c>
      <x:c r="H23" s="30" t="str">
        <x:v>v0.8地区机构样本清单或39所原985母表</x:v>
      </x:c>
      <x:c r="I23" s="30" t="str">
        <x:v>建立相关实验室清单，补查当年度正式指南</x:v>
      </x:c>
    </x:row>
    <x:row r="24" ht="36" customHeight="1">
      <x:c r="A24" s="30" t="str">
        <x:v>地区及全国母表</x:v>
      </x:c>
      <x:c r="B24" s="30" t="str">
        <x:v>南京邮电大学</x:v>
      </x:c>
      <x:c r="C24" s="30" t="str">
        <x:v>P2重点地区</x:v>
      </x:c>
      <x:c r="D24" s="30" t="str">
        <x:v>A2 南京（高水平双非及专业院校）</x:v>
      </x:c>
      <x:c r="E24" s="30" t="str">
        <x:v>已发现部分证据（仍非逐平台完成）：大数据安全与智能处理栏目</x:v>
      </x:c>
      <x:c r="F24" s="30" t="str">
        <x:v>对相关实验室逐个核正式开放指南及附件；若无公告记录已查未发现</x:v>
      </x:c>
      <x:c r="G24" s="30" t="str">
        <x:v>否</x:v>
      </x:c>
      <x:c r="H24" s="30" t="str">
        <x:v>v0.8地区机构样本清单或39所原985母表</x:v>
      </x:c>
      <x:c r="I24" s="30" t="str">
        <x:v>建立相关实验室清单，补查当年度正式指南</x:v>
      </x:c>
    </x:row>
    <x:row r="25" ht="36" customHeight="1">
      <x:c r="A25" s="30" t="str">
        <x:v>地区及全国母表</x:v>
      </x:c>
      <x:c r="B25" s="30" t="str">
        <x:v>南京林业大学</x:v>
      </x:c>
      <x:c r="C25" s="30" t="str">
        <x:v>P2重点地区</x:v>
      </x:c>
      <x:c r="D25" s="30" t="str">
        <x:v>A2 南京（高水平双非及专业院校）</x:v>
      </x:c>
      <x:c r="E25" s="30" t="str">
        <x:v>待逐平台核查；不得标记为无公开项目</x:v>
      </x:c>
      <x:c r="F25" s="30" t="str">
        <x:v>对相关实验室逐个核正式开放指南及附件；若无公告记录已查未发现</x:v>
      </x:c>
      <x:c r="G25" s="30" t="str">
        <x:v>否</x:v>
      </x:c>
      <x:c r="H25" s="30" t="str">
        <x:v>v0.8地区机构样本清单或39所原985母表</x:v>
      </x:c>
      <x:c r="I25" s="30" t="str">
        <x:v>建立相关实验室清单，补查当年度正式指南</x:v>
      </x:c>
    </x:row>
    <x:row r="26" ht="36" customHeight="1">
      <x:c r="A26" s="30" t="str">
        <x:v>地区及全国母表</x:v>
      </x:c>
      <x:c r="B26" s="30" t="str">
        <x:v>南京中医药大学</x:v>
      </x:c>
      <x:c r="C26" s="30" t="str">
        <x:v>P2重点地区</x:v>
      </x:c>
      <x:c r="D26" s="30" t="str">
        <x:v>A2 南京（高水平双非及专业院校）</x:v>
      </x:c>
      <x:c r="E26" s="30" t="str">
        <x:v>待逐平台核查；不得标记为无公开项目</x:v>
      </x:c>
      <x:c r="F26" s="30" t="str">
        <x:v>对相关实验室逐个核正式开放指南及附件；若无公告记录已查未发现</x:v>
      </x:c>
      <x:c r="G26" s="30" t="str">
        <x:v>否</x:v>
      </x:c>
      <x:c r="H26" s="30" t="str">
        <x:v>v0.8地区机构样本清单或39所原985母表</x:v>
      </x:c>
      <x:c r="I26" s="30" t="str">
        <x:v>建立相关实验室清单，补查当年度正式指南</x:v>
      </x:c>
    </x:row>
    <x:row r="27" ht="36" customHeight="1">
      <x:c r="A27" s="30" t="str">
        <x:v>地区及全国母表</x:v>
      </x:c>
      <x:c r="B27" s="30" t="str">
        <x:v>南京工程学院</x:v>
      </x:c>
      <x:c r="C27" s="30" t="str">
        <x:v>P2重点地区</x:v>
      </x:c>
      <x:c r="D27" s="30" t="str">
        <x:v>A2 南京（高水平双非及专业院校）</x:v>
      </x:c>
      <x:c r="E27" s="30" t="str">
        <x:v>待逐平台核查；不得标记为无公开项目</x:v>
      </x:c>
      <x:c r="F27" s="30" t="str">
        <x:v>对相关实验室逐个核正式开放指南及附件；若无公告记录已查未发现</x:v>
      </x:c>
      <x:c r="G27" s="30" t="str">
        <x:v>否</x:v>
      </x:c>
      <x:c r="H27" s="30" t="str">
        <x:v>v0.8地区机构样本清单或39所原985母表</x:v>
      </x:c>
      <x:c r="I27" s="30" t="str">
        <x:v>建立相关实验室清单，补查当年度正式指南</x:v>
      </x:c>
    </x:row>
    <x:row r="28" ht="36" customHeight="1">
      <x:c r="A28" s="30" t="str">
        <x:v>地区及全国母表</x:v>
      </x:c>
      <x:c r="B28" s="30" t="str">
        <x:v>南京财经大学</x:v>
      </x:c>
      <x:c r="C28" s="30" t="str">
        <x:v>P2重点地区</x:v>
      </x:c>
      <x:c r="D28" s="30" t="str">
        <x:v>A2 南京（高水平双非及专业院校）</x:v>
      </x:c>
      <x:c r="E28" s="30" t="str">
        <x:v>待逐平台核查；不得标记为无公开项目</x:v>
      </x:c>
      <x:c r="F28" s="30" t="str">
        <x:v>对相关实验室逐个核正式开放指南及附件；若无公告记录已查未发现</x:v>
      </x:c>
      <x:c r="G28" s="30" t="str">
        <x:v>否</x:v>
      </x:c>
      <x:c r="H28" s="30" t="str">
        <x:v>v0.8地区机构样本清单或39所原985母表</x:v>
      </x:c>
      <x:c r="I28" s="30" t="str">
        <x:v>建立相关实验室清单，补查当年度正式指南</x:v>
      </x:c>
    </x:row>
    <x:row r="29" ht="36" customHeight="1">
      <x:c r="A29" s="30" t="str">
        <x:v>地区及全国母表</x:v>
      </x:c>
      <x:c r="B29" s="30" t="str">
        <x:v>南京审计大学</x:v>
      </x:c>
      <x:c r="C29" s="30" t="str">
        <x:v>P2重点地区</x:v>
      </x:c>
      <x:c r="D29" s="30" t="str">
        <x:v>A2 南京（高水平双非及专业院校）</x:v>
      </x:c>
      <x:c r="E29" s="30" t="str">
        <x:v>待逐平台核查；不得标记为无公开项目</x:v>
      </x:c>
      <x:c r="F29" s="30" t="str">
        <x:v>对相关实验室逐个核正式开放指南及附件；若无公告记录已查未发现</x:v>
      </x:c>
      <x:c r="G29" s="30" t="str">
        <x:v>否</x:v>
      </x:c>
      <x:c r="H29" s="30" t="str">
        <x:v>v0.8地区机构样本清单或39所原985母表</x:v>
      </x:c>
      <x:c r="I29" s="30" t="str">
        <x:v>建立相关实验室清单，补查当年度正式指南</x:v>
      </x:c>
    </x:row>
    <x:row r="30" ht="36" customHeight="1">
      <x:c r="A30" s="30" t="str">
        <x:v>地区及全国母表</x:v>
      </x:c>
      <x:c r="B30" s="30" t="str">
        <x:v>南京警察学院</x:v>
      </x:c>
      <x:c r="C30" s="30" t="str">
        <x:v>P2重点地区</x:v>
      </x:c>
      <x:c r="D30" s="30" t="str">
        <x:v>A2 南京（高水平双非及专业院校）</x:v>
      </x:c>
      <x:c r="E30" s="30" t="str">
        <x:v>已发现部分证据（仍非逐平台完成）：警犬技术2026历史指南</x:v>
      </x:c>
      <x:c r="F30" s="30" t="str">
        <x:v>对相关实验室逐个核正式开放指南及附件；若无公告记录已查未发现</x:v>
      </x:c>
      <x:c r="G30" s="30" t="str">
        <x:v>否</x:v>
      </x:c>
      <x:c r="H30" s="30" t="str">
        <x:v>v0.8地区机构样本清单或39所原985母表</x:v>
      </x:c>
      <x:c r="I30" s="30" t="str">
        <x:v>建立相关实验室清单，补查当年度正式指南</x:v>
      </x:c>
    </x:row>
    <x:row r="31" ht="36" customHeight="1">
      <x:c r="A31" s="30" t="str">
        <x:v>地区及全国母表</x:v>
      </x:c>
      <x:c r="B31" s="30" t="str">
        <x:v>南京体育学院</x:v>
      </x:c>
      <x:c r="C31" s="30" t="str">
        <x:v>P2重点地区</x:v>
      </x:c>
      <x:c r="D31" s="30" t="str">
        <x:v>A2 南京（高水平双非及专业院校）</x:v>
      </x:c>
      <x:c r="E31" s="30" t="str">
        <x:v>待逐平台核查；不得标记为无公开项目</x:v>
      </x:c>
      <x:c r="F31" s="30" t="str">
        <x:v>对相关实验室逐个核正式开放指南及附件；若无公告记录已查未发现</x:v>
      </x:c>
      <x:c r="G31" s="30" t="str">
        <x:v>否</x:v>
      </x:c>
      <x:c r="H31" s="30" t="str">
        <x:v>v0.8地区机构样本清单或39所原985母表</x:v>
      </x:c>
      <x:c r="I31" s="30" t="str">
        <x:v>建立相关实验室清单，补查当年度正式指南</x:v>
      </x:c>
    </x:row>
    <x:row r="32" ht="36" customHeight="1">
      <x:c r="A32" s="30" t="str">
        <x:v>地区及全国母表</x:v>
      </x:c>
      <x:c r="B32" s="30" t="str">
        <x:v>中国科学院南京地理与湖泊研究所</x:v>
      </x:c>
      <x:c r="C32" s="30" t="str">
        <x:v>P2重点地区</x:v>
      </x:c>
      <x:c r="D32" s="30" t="str">
        <x:v>A3 南京科研院所</x:v>
      </x:c>
      <x:c r="E32" s="30" t="str">
        <x:v>待逐平台核查；不得标记为无公开项目</x:v>
      </x:c>
      <x:c r="F32" s="30" t="str">
        <x:v>对相关实验室逐个核正式开放指南及附件；若无公告记录已查未发现</x:v>
      </x:c>
      <x:c r="G32" s="30" t="str">
        <x:v>否</x:v>
      </x:c>
      <x:c r="H32" s="30" t="str">
        <x:v>v0.8地区机构样本清单或39所原985母表</x:v>
      </x:c>
      <x:c r="I32" s="30" t="str">
        <x:v>建立相关实验室清单，补查当年度正式指南</x:v>
      </x:c>
    </x:row>
    <x:row r="33" ht="36" customHeight="1">
      <x:c r="A33" s="30" t="str">
        <x:v>地区及全国母表</x:v>
      </x:c>
      <x:c r="B33" s="30" t="str">
        <x:v>中国科学院南京土壤研究所</x:v>
      </x:c>
      <x:c r="C33" s="30" t="str">
        <x:v>P2重点地区</x:v>
      </x:c>
      <x:c r="D33" s="30" t="str">
        <x:v>A3 南京科研院所</x:v>
      </x:c>
      <x:c r="E33" s="30" t="str">
        <x:v>待逐平台核查；不得标记为无公开项目</x:v>
      </x:c>
      <x:c r="F33" s="30" t="str">
        <x:v>对相关实验室逐个核正式开放指南及附件；若无公告记录已查未发现</x:v>
      </x:c>
      <x:c r="G33" s="30" t="str">
        <x:v>否</x:v>
      </x:c>
      <x:c r="H33" s="30" t="str">
        <x:v>v0.8地区机构样本清单或39所原985母表</x:v>
      </x:c>
      <x:c r="I33" s="30" t="str">
        <x:v>建立相关实验室清单，补查当年度正式指南</x:v>
      </x:c>
    </x:row>
    <x:row r="34" ht="36" customHeight="1">
      <x:c r="A34" s="30" t="str">
        <x:v>地区及全国母表</x:v>
      </x:c>
      <x:c r="B34" s="30" t="str">
        <x:v>中国科学院南京地质古生物研究所</x:v>
      </x:c>
      <x:c r="C34" s="30" t="str">
        <x:v>P2重点地区</x:v>
      </x:c>
      <x:c r="D34" s="30" t="str">
        <x:v>A3 南京科研院所</x:v>
      </x:c>
      <x:c r="E34" s="30" t="str">
        <x:v>待逐平台核查；不得标记为无公开项目</x:v>
      </x:c>
      <x:c r="F34" s="30" t="str">
        <x:v>对相关实验室逐个核正式开放指南及附件；若无公告记录已查未发现</x:v>
      </x:c>
      <x:c r="G34" s="30" t="str">
        <x:v>否</x:v>
      </x:c>
      <x:c r="H34" s="30" t="str">
        <x:v>v0.8地区机构样本清单或39所原985母表</x:v>
      </x:c>
      <x:c r="I34" s="30" t="str">
        <x:v>建立相关实验室清单，补查当年度正式指南</x:v>
      </x:c>
    </x:row>
    <x:row r="35" ht="36" customHeight="1">
      <x:c r="A35" s="30" t="str">
        <x:v>地区及全国母表</x:v>
      </x:c>
      <x:c r="B35" s="30" t="str">
        <x:v>中国科学院南京天文光学技术研究所</x:v>
      </x:c>
      <x:c r="C35" s="30" t="str">
        <x:v>P2重点地区</x:v>
      </x:c>
      <x:c r="D35" s="30" t="str">
        <x:v>A3 南京科研院所</x:v>
      </x:c>
      <x:c r="E35" s="30" t="str">
        <x:v>待逐平台核查；不得标记为无公开项目</x:v>
      </x:c>
      <x:c r="F35" s="30" t="str">
        <x:v>对相关实验室逐个核正式开放指南及附件；若无公告记录已查未发现</x:v>
      </x:c>
      <x:c r="G35" s="30" t="str">
        <x:v>否</x:v>
      </x:c>
      <x:c r="H35" s="30" t="str">
        <x:v>v0.8地区机构样本清单或39所原985母表</x:v>
      </x:c>
      <x:c r="I35" s="30" t="str">
        <x:v>建立相关实验室清单，补查当年度正式指南</x:v>
      </x:c>
    </x:row>
    <x:row r="36" ht="36" customHeight="1">
      <x:c r="A36" s="30" t="str">
        <x:v>地区及全国母表</x:v>
      </x:c>
      <x:c r="B36" s="30" t="str">
        <x:v>江苏省产业技术研究院</x:v>
      </x:c>
      <x:c r="C36" s="30" t="str">
        <x:v>P2重点地区</x:v>
      </x:c>
      <x:c r="D36" s="30" t="str">
        <x:v>A3 南京科研院所</x:v>
      </x:c>
      <x:c r="E36" s="30" t="str">
        <x:v>待逐平台核查；不得标记为无公开项目</x:v>
      </x:c>
      <x:c r="F36" s="30" t="str">
        <x:v>对相关实验室逐个核正式开放指南及附件；若无公告记录已查未发现</x:v>
      </x:c>
      <x:c r="G36" s="30" t="str">
        <x:v>否</x:v>
      </x:c>
      <x:c r="H36" s="30" t="str">
        <x:v>v0.8地区机构样本清单或39所原985母表</x:v>
      </x:c>
      <x:c r="I36" s="30" t="str">
        <x:v>建立相关实验室清单，补查当年度正式指南</x:v>
      </x:c>
    </x:row>
    <x:row r="37" ht="36" customHeight="1">
      <x:c r="A37" s="30" t="str">
        <x:v>地区及全国母表</x:v>
      </x:c>
      <x:c r="B37" s="30" t="str">
        <x:v>江苏省人民医院等医学科研平台</x:v>
      </x:c>
      <x:c r="C37" s="30" t="str">
        <x:v>P2重点地区</x:v>
      </x:c>
      <x:c r="D37" s="30" t="str">
        <x:v>A3 南京科研院所</x:v>
      </x:c>
      <x:c r="E37" s="30" t="str">
        <x:v>待逐平台核查；不得标记为无公开项目</x:v>
      </x:c>
      <x:c r="F37" s="30" t="str">
        <x:v>对相关实验室逐个核正式开放指南及附件；若无公告记录已查未发现</x:v>
      </x:c>
      <x:c r="G37" s="30" t="str">
        <x:v>否</x:v>
      </x:c>
      <x:c r="H37" s="30" t="str">
        <x:v>v0.8地区机构样本清单或39所原985母表</x:v>
      </x:c>
      <x:c r="I37" s="30" t="str">
        <x:v>建立相关实验室清单，补查当年度正式指南</x:v>
      </x:c>
    </x:row>
    <x:row r="38" ht="36" customHeight="1">
      <x:c r="A38" s="30" t="str">
        <x:v>地区及全国母表</x:v>
      </x:c>
      <x:c r="B38" s="30" t="str">
        <x:v>苏州大学</x:v>
      </x:c>
      <x:c r="C38" s="30" t="str">
        <x:v>P2重点地区</x:v>
      </x:c>
      <x:c r="D38" s="30" t="str">
        <x:v>A4 苏州</x:v>
      </x:c>
      <x:c r="E38" s="30" t="str">
        <x:v>已发现部分证据（仍非逐平台完成）：通用AI与大模型2026当前指南；具身智能机器人2026历史指南</x:v>
      </x:c>
      <x:c r="F38" s="30" t="str">
        <x:v>对相关实验室逐个核正式开放指南及附件；若无公告记录已查未发现</x:v>
      </x:c>
      <x:c r="G38" s="30" t="str">
        <x:v>否</x:v>
      </x:c>
      <x:c r="H38" s="30" t="str">
        <x:v>v0.8地区机构样本清单或39所原985母表</x:v>
      </x:c>
      <x:c r="I38" s="30" t="str">
        <x:v>建立相关实验室清单，补查当年度正式指南</x:v>
      </x:c>
    </x:row>
    <x:row r="39" ht="36" customHeight="1">
      <x:c r="A39" s="30" t="str">
        <x:v>地区及全国母表</x:v>
      </x:c>
      <x:c r="B39" s="30" t="str">
        <x:v>苏州科技大学</x:v>
      </x:c>
      <x:c r="C39" s="30" t="str">
        <x:v>P2重点地区</x:v>
      </x:c>
      <x:c r="D39" s="30" t="str">
        <x:v>A4 苏州</x:v>
      </x:c>
      <x:c r="E39" s="30" t="str">
        <x:v>待逐平台核查；不得标记为无公开项目</x:v>
      </x:c>
      <x:c r="F39" s="30" t="str">
        <x:v>对相关实验室逐个核正式开放指南及附件；若无公告记录已查未发现</x:v>
      </x:c>
      <x:c r="G39" s="30" t="str">
        <x:v>否</x:v>
      </x:c>
      <x:c r="H39" s="30" t="str">
        <x:v>v0.8地区机构样本清单或39所原985母表</x:v>
      </x:c>
      <x:c r="I39" s="30" t="str">
        <x:v>建立相关实验室清单，补查当年度正式指南</x:v>
      </x:c>
    </x:row>
    <x:row r="40" ht="36" customHeight="1">
      <x:c r="A40" s="30" t="str">
        <x:v>地区及全国母表</x:v>
      </x:c>
      <x:c r="B40" s="30" t="str">
        <x:v>苏州工学院</x:v>
      </x:c>
      <x:c r="C40" s="30" t="str">
        <x:v>P2重点地区</x:v>
      </x:c>
      <x:c r="D40" s="30" t="str">
        <x:v>A4 苏州</x:v>
      </x:c>
      <x:c r="E40" s="30" t="str">
        <x:v>已发现部分证据（仍非逐平台完成）：具身工业机器人管理办法；年度窗口未确认</x:v>
      </x:c>
      <x:c r="F40" s="30" t="str">
        <x:v>对相关实验室逐个核正式开放指南及附件；若无公告记录已查未发现</x:v>
      </x:c>
      <x:c r="G40" s="30" t="str">
        <x:v>否</x:v>
      </x:c>
      <x:c r="H40" s="30" t="str">
        <x:v>v0.8地区机构样本清单或39所原985母表</x:v>
      </x:c>
      <x:c r="I40" s="30" t="str">
        <x:v>建立相关实验室清单，补查当年度正式指南</x:v>
      </x:c>
    </x:row>
    <x:row r="41" ht="36" customHeight="1">
      <x:c r="A41" s="30" t="str">
        <x:v>地区及全国母表</x:v>
      </x:c>
      <x:c r="B41" s="30" t="str">
        <x:v>苏州城市学院</x:v>
      </x:c>
      <x:c r="C41" s="30" t="str">
        <x:v>P2重点地区</x:v>
      </x:c>
      <x:c r="D41" s="30" t="str">
        <x:v>A4 苏州</x:v>
      </x:c>
      <x:c r="E41" s="30" t="str">
        <x:v>已发现部分证据（仍非逐平台完成）：多模态数据融合2026历史公告</x:v>
      </x:c>
      <x:c r="F41" s="30" t="str">
        <x:v>对相关实验室逐个核正式开放指南及附件；若无公告记录已查未发现</x:v>
      </x:c>
      <x:c r="G41" s="30" t="str">
        <x:v>否</x:v>
      </x:c>
      <x:c r="H41" s="30" t="str">
        <x:v>v0.8地区机构样本清单或39所原985母表</x:v>
      </x:c>
      <x:c r="I41" s="30" t="str">
        <x:v>建立相关实验室清单，补查当年度正式指南</x:v>
      </x:c>
    </x:row>
    <x:row r="42" ht="36" customHeight="1">
      <x:c r="A42" s="30" t="str">
        <x:v>地区及全国母表</x:v>
      </x:c>
      <x:c r="B42" s="30" t="str">
        <x:v>常熟理工学院</x:v>
      </x:c>
      <x:c r="C42" s="30" t="str">
        <x:v>P2重点地区</x:v>
      </x:c>
      <x:c r="D42" s="30" t="str">
        <x:v>A4 苏州</x:v>
      </x:c>
      <x:c r="E42" s="30" t="str">
        <x:v>待逐平台核查；不得标记为无公开项目</x:v>
      </x:c>
      <x:c r="F42" s="30" t="str">
        <x:v>对相关实验室逐个核正式开放指南及附件；若无公告记录已查未发现</x:v>
      </x:c>
      <x:c r="G42" s="30" t="str">
        <x:v>否</x:v>
      </x:c>
      <x:c r="H42" s="30" t="str">
        <x:v>v0.8地区机构样本清单或39所原985母表</x:v>
      </x:c>
      <x:c r="I42" s="30" t="str">
        <x:v>建立相关实验室清单，补查当年度正式指南</x:v>
      </x:c>
    </x:row>
    <x:row r="43" ht="36" customHeight="1">
      <x:c r="A43" s="30" t="str">
        <x:v>地区及全国母表</x:v>
      </x:c>
      <x:c r="B43" s="30" t="str">
        <x:v>中国科学院苏州生物医学工程技术研究所</x:v>
      </x:c>
      <x:c r="C43" s="30" t="str">
        <x:v>P2重点地区</x:v>
      </x:c>
      <x:c r="D43" s="30" t="str">
        <x:v>A4 苏州</x:v>
      </x:c>
      <x:c r="E43" s="30" t="str">
        <x:v>已发现部分证据（仍非逐平台完成）：先进诊疗装备2026立项结果</x:v>
      </x:c>
      <x:c r="F43" s="30" t="str">
        <x:v>对相关实验室逐个核正式开放指南及附件；若无公告记录已查未发现</x:v>
      </x:c>
      <x:c r="G43" s="30" t="str">
        <x:v>否</x:v>
      </x:c>
      <x:c r="H43" s="30" t="str">
        <x:v>v0.8地区机构样本清单或39所原985母表</x:v>
      </x:c>
      <x:c r="I43" s="30" t="str">
        <x:v>建立相关实验室清单，补查当年度正式指南</x:v>
      </x:c>
    </x:row>
    <x:row r="44" ht="36" customHeight="1">
      <x:c r="A44" s="30" t="str">
        <x:v>地区及全国母表</x:v>
      </x:c>
      <x:c r="B44" s="30" t="str">
        <x:v>中国科学院苏州纳米技术与纳米仿生研究所</x:v>
      </x:c>
      <x:c r="C44" s="30" t="str">
        <x:v>P2重点地区</x:v>
      </x:c>
      <x:c r="D44" s="30" t="str">
        <x:v>A4 苏州</x:v>
      </x:c>
      <x:c r="E44" s="30" t="str">
        <x:v>已发现部分证据（仍非逐平台完成）：类器官2026历史指南</x:v>
      </x:c>
      <x:c r="F44" s="30" t="str">
        <x:v>对相关实验室逐个核正式开放指南及附件；若无公告记录已查未发现</x:v>
      </x:c>
      <x:c r="G44" s="30" t="str">
        <x:v>否</x:v>
      </x:c>
      <x:c r="H44" s="30" t="str">
        <x:v>v0.8地区机构样本清单或39所原985母表</x:v>
      </x:c>
      <x:c r="I44" s="30" t="str">
        <x:v>建立相关实验室清单，补查当年度正式指南</x:v>
      </x:c>
    </x:row>
    <x:row r="45" ht="36" customHeight="1">
      <x:c r="A45" s="30" t="str">
        <x:v>地区及全国母表</x:v>
      </x:c>
      <x:c r="B45" s="30" t="str">
        <x:v>苏州实验室</x:v>
      </x:c>
      <x:c r="C45" s="30" t="str">
        <x:v>P2重点地区</x:v>
      </x:c>
      <x:c r="D45" s="30" t="str">
        <x:v>A4 苏州</x:v>
      </x:c>
      <x:c r="E45" s="30" t="str">
        <x:v>待逐平台核查；不得标记为无公开项目</x:v>
      </x:c>
      <x:c r="F45" s="30" t="str">
        <x:v>对相关实验室逐个核正式开放指南及附件；若无公告记录已查未发现</x:v>
      </x:c>
      <x:c r="G45" s="30" t="str">
        <x:v>否</x:v>
      </x:c>
      <x:c r="H45" s="30" t="str">
        <x:v>v0.8地区机构样本清单或39所原985母表</x:v>
      </x:c>
      <x:c r="I45" s="30" t="str">
        <x:v>建立相关实验室清单，补查当年度正式指南</x:v>
      </x:c>
    </x:row>
    <x:row r="46" ht="36" customHeight="1">
      <x:c r="A46" s="30" t="str">
        <x:v>地区及全国母表</x:v>
      </x:c>
      <x:c r="B46" s="30" t="str">
        <x:v>江南大学</x:v>
      </x:c>
      <x:c r="C46" s="30" t="str">
        <x:v>P2重点地区</x:v>
      </x:c>
      <x:c r="D46" s="30" t="str">
        <x:v>A5 无锡常州镇江扬州</x:v>
      </x:c>
      <x:c r="E46" s="30" t="str">
        <x:v>已发现部分证据（仍非逐平台完成）：生态纺织长期办法；年度待核</x:v>
      </x:c>
      <x:c r="F46" s="30" t="str">
        <x:v>对相关实验室逐个核正式开放指南及附件；若无公告记录已查未发现</x:v>
      </x:c>
      <x:c r="G46" s="30" t="str">
        <x:v>否</x:v>
      </x:c>
      <x:c r="H46" s="30" t="str">
        <x:v>v0.8地区机构样本清单或39所原985母表</x:v>
      </x:c>
      <x:c r="I46" s="30" t="str">
        <x:v>建立相关实验室清单，补查当年度正式指南</x:v>
      </x:c>
    </x:row>
    <x:row r="47" ht="36" customHeight="1">
      <x:c r="A47" s="30" t="str">
        <x:v>地区及全国母表</x:v>
      </x:c>
      <x:c r="B47" s="30" t="str">
        <x:v>无锡学院</x:v>
      </x:c>
      <x:c r="C47" s="30" t="str">
        <x:v>P2重点地区</x:v>
      </x:c>
      <x:c r="D47" s="30" t="str">
        <x:v>A5 无锡常州镇江扬州</x:v>
      </x:c>
      <x:c r="E47" s="30" t="str">
        <x:v>待逐平台核查；不得标记为无公开项目</x:v>
      </x:c>
      <x:c r="F47" s="30" t="str">
        <x:v>对相关实验室逐个核正式开放指南及附件；若无公告记录已查未发现</x:v>
      </x:c>
      <x:c r="G47" s="30" t="str">
        <x:v>否</x:v>
      </x:c>
      <x:c r="H47" s="30" t="str">
        <x:v>v0.8地区机构样本清单或39所原985母表</x:v>
      </x:c>
      <x:c r="I47" s="30" t="str">
        <x:v>建立相关实验室清单，补查当年度正式指南</x:v>
      </x:c>
    </x:row>
    <x:row r="48" ht="36" customHeight="1">
      <x:c r="A48" s="30" t="str">
        <x:v>地区及全国母表</x:v>
      </x:c>
      <x:c r="B48" s="30" t="str">
        <x:v>无锡太湖学院</x:v>
      </x:c>
      <x:c r="C48" s="30" t="str">
        <x:v>P2重点地区</x:v>
      </x:c>
      <x:c r="D48" s="30" t="str">
        <x:v>A5 无锡常州镇江扬州</x:v>
      </x:c>
      <x:c r="E48" s="30" t="str">
        <x:v>待逐平台核查；不得标记为无公开项目</x:v>
      </x:c>
      <x:c r="F48" s="30" t="str">
        <x:v>对相关实验室逐个核正式开放指南及附件；若无公告记录已查未发现</x:v>
      </x:c>
      <x:c r="G48" s="30" t="str">
        <x:v>否</x:v>
      </x:c>
      <x:c r="H48" s="30" t="str">
        <x:v>v0.8地区机构样本清单或39所原985母表</x:v>
      </x:c>
      <x:c r="I48" s="30" t="str">
        <x:v>建立相关实验室清单，补查当年度正式指南</x:v>
      </x:c>
    </x:row>
    <x:row r="49" ht="36" customHeight="1">
      <x:c r="A49" s="30" t="str">
        <x:v>地区及全国母表</x:v>
      </x:c>
      <x:c r="B49" s="30" t="str">
        <x:v>常州大学</x:v>
      </x:c>
      <x:c r="C49" s="30" t="str">
        <x:v>P2重点地区</x:v>
      </x:c>
      <x:c r="D49" s="30" t="str">
        <x:v>A5 无锡常州镇江扬州</x:v>
      </x:c>
      <x:c r="E49" s="30" t="str">
        <x:v>已发现部分证据（仍非逐平台完成）：智能制造龙城2026校内牵头限定</x:v>
      </x:c>
      <x:c r="F49" s="30" t="str">
        <x:v>对相关实验室逐个核正式开放指南及附件；若无公告记录已查未发现</x:v>
      </x:c>
      <x:c r="G49" s="30" t="str">
        <x:v>否</x:v>
      </x:c>
      <x:c r="H49" s="30" t="str">
        <x:v>v0.8地区机构样本清单或39所原985母表</x:v>
      </x:c>
      <x:c r="I49" s="30" t="str">
        <x:v>建立相关实验室清单，补查当年度正式指南</x:v>
      </x:c>
    </x:row>
    <x:row r="50" ht="36" customHeight="1">
      <x:c r="A50" s="30" t="str">
        <x:v>地区及全国母表</x:v>
      </x:c>
      <x:c r="B50" s="30" t="str">
        <x:v>常州工学院</x:v>
      </x:c>
      <x:c r="C50" s="30" t="str">
        <x:v>P2重点地区</x:v>
      </x:c>
      <x:c r="D50" s="30" t="str">
        <x:v>A5 无锡常州镇江扬州</x:v>
      </x:c>
      <x:c r="E50" s="30" t="str">
        <x:v>待逐平台核查；不得标记为无公开项目</x:v>
      </x:c>
      <x:c r="F50" s="30" t="str">
        <x:v>对相关实验室逐个核正式开放指南及附件；若无公告记录已查未发现</x:v>
      </x:c>
      <x:c r="G50" s="30" t="str">
        <x:v>否</x:v>
      </x:c>
      <x:c r="H50" s="30" t="str">
        <x:v>v0.8地区机构样本清单或39所原985母表</x:v>
      </x:c>
      <x:c r="I50" s="30" t="str">
        <x:v>建立相关实验室清单，补查当年度正式指南</x:v>
      </x:c>
    </x:row>
    <x:row r="51" ht="36" customHeight="1">
      <x:c r="A51" s="30" t="str">
        <x:v>地区及全国母表</x:v>
      </x:c>
      <x:c r="B51" s="30" t="str">
        <x:v>江苏理工学院</x:v>
      </x:c>
      <x:c r="C51" s="30" t="str">
        <x:v>P2重点地区</x:v>
      </x:c>
      <x:c r="D51" s="30" t="str">
        <x:v>A5 无锡常州镇江扬州</x:v>
      </x:c>
      <x:c r="E51" s="30" t="str">
        <x:v>待逐平台核查；不得标记为无公开项目</x:v>
      </x:c>
      <x:c r="F51" s="30" t="str">
        <x:v>对相关实验室逐个核正式开放指南及附件；若无公告记录已查未发现</x:v>
      </x:c>
      <x:c r="G51" s="30" t="str">
        <x:v>否</x:v>
      </x:c>
      <x:c r="H51" s="30" t="str">
        <x:v>v0.8地区机构样本清单或39所原985母表</x:v>
      </x:c>
      <x:c r="I51" s="30" t="str">
        <x:v>建立相关实验室清单，补查当年度正式指南</x:v>
      </x:c>
    </x:row>
    <x:row r="52" ht="36" customHeight="1">
      <x:c r="A52" s="30" t="str">
        <x:v>地区及全国母表</x:v>
      </x:c>
      <x:c r="B52" s="30" t="str">
        <x:v>江苏大学</x:v>
      </x:c>
      <x:c r="C52" s="30" t="str">
        <x:v>P2重点地区</x:v>
      </x:c>
      <x:c r="D52" s="30" t="str">
        <x:v>A5 无锡常州镇江扬州</x:v>
      </x:c>
      <x:c r="E52" s="30" t="str">
        <x:v>已发现部分证据（仍非逐平台完成）：检验医学重点实验室2026项目公布记录</x:v>
      </x:c>
      <x:c r="F52" s="30" t="str">
        <x:v>对相关实验室逐个核正式开放指南及附件；若无公告记录已查未发现</x:v>
      </x:c>
      <x:c r="G52" s="30" t="str">
        <x:v>否</x:v>
      </x:c>
      <x:c r="H52" s="30" t="str">
        <x:v>v0.8地区机构样本清单或39所原985母表</x:v>
      </x:c>
      <x:c r="I52" s="30" t="str">
        <x:v>建立相关实验室清单，补查当年度正式指南</x:v>
      </x:c>
    </x:row>
    <x:row r="53" ht="36" customHeight="1">
      <x:c r="A53" s="30" t="str">
        <x:v>地区及全国母表</x:v>
      </x:c>
      <x:c r="B53" s="30" t="str">
        <x:v>江苏科技大学</x:v>
      </x:c>
      <x:c r="C53" s="30" t="str">
        <x:v>P2重点地区</x:v>
      </x:c>
      <x:c r="D53" s="30" t="str">
        <x:v>A5 无锡常州镇江扬州</x:v>
      </x:c>
      <x:c r="E53" s="30" t="str">
        <x:v>待逐平台核查；不得标记为无公开项目</x:v>
      </x:c>
      <x:c r="F53" s="30" t="str">
        <x:v>对相关实验室逐个核正式开放指南及附件；若无公告记录已查未发现</x:v>
      </x:c>
      <x:c r="G53" s="30" t="str">
        <x:v>否</x:v>
      </x:c>
      <x:c r="H53" s="30" t="str">
        <x:v>v0.8地区机构样本清单或39所原985母表</x:v>
      </x:c>
      <x:c r="I53" s="30" t="str">
        <x:v>建立相关实验室清单，补查当年度正式指南</x:v>
      </x:c>
    </x:row>
    <x:row r="54" ht="36" customHeight="1">
      <x:c r="A54" s="30" t="str">
        <x:v>地区及全国母表</x:v>
      </x:c>
      <x:c r="B54" s="30" t="str">
        <x:v>扬州大学</x:v>
      </x:c>
      <x:c r="C54" s="30" t="str">
        <x:v>P2重点地区</x:v>
      </x:c>
      <x:c r="D54" s="30" t="str">
        <x:v>A5 无锡常州镇江扬州</x:v>
      </x:c>
      <x:c r="E54" s="30" t="str">
        <x:v>待逐平台核查；不得标记为无公开项目</x:v>
      </x:c>
      <x:c r="F54" s="30" t="str">
        <x:v>对相关实验室逐个核正式开放指南及附件；若无公告记录已查未发现</x:v>
      </x:c>
      <x:c r="G54" s="30" t="str">
        <x:v>否</x:v>
      </x:c>
      <x:c r="H54" s="30" t="str">
        <x:v>v0.8地区机构样本清单或39所原985母表</x:v>
      </x:c>
      <x:c r="I54" s="30" t="str">
        <x:v>建立相关实验室清单，补查当年度正式指南</x:v>
      </x:c>
    </x:row>
    <x:row r="55" ht="36" customHeight="1">
      <x:c r="A55" s="30" t="str">
        <x:v>地区及全国母表</x:v>
      </x:c>
      <x:c r="B55" s="30" t="str">
        <x:v>中国科学院无锡相关物联网研究机构</x:v>
      </x:c>
      <x:c r="C55" s="30" t="str">
        <x:v>P2重点地区</x:v>
      </x:c>
      <x:c r="D55" s="30" t="str">
        <x:v>A5 无锡常州镇江扬州</x:v>
      </x:c>
      <x:c r="E55" s="30" t="str">
        <x:v>待逐平台核查；不得标记为无公开项目</x:v>
      </x:c>
      <x:c r="F55" s="30" t="str">
        <x:v>对相关实验室逐个核正式开放指南及附件；若无公告记录已查未发现</x:v>
      </x:c>
      <x:c r="G55" s="30" t="str">
        <x:v>否</x:v>
      </x:c>
      <x:c r="H55" s="30" t="str">
        <x:v>v0.8地区机构样本清单或39所原985母表</x:v>
      </x:c>
      <x:c r="I55" s="30" t="str">
        <x:v>建立相关实验室清单，补查当年度正式指南</x:v>
      </x:c>
    </x:row>
    <x:row r="56" ht="36" customHeight="1">
      <x:c r="A56" s="30" t="str">
        <x:v>地区及全国母表</x:v>
      </x:c>
      <x:c r="B56" s="30" t="str">
        <x:v>复旦大学</x:v>
      </x:c>
      <x:c r="C56" s="30" t="str">
        <x:v>P2重点地区</x:v>
      </x:c>
      <x:c r="D56" s="30" t="str">
        <x:v>B1 上海985、211与重点理工医科</x:v>
      </x:c>
      <x:c r="E56" s="30" t="str">
        <x:v>待逐平台核查；不得标记为无公开项目</x:v>
      </x:c>
      <x:c r="F56" s="30" t="str">
        <x:v>对相关实验室逐个核正式开放指南及附件；若无公告记录已查未发现</x:v>
      </x:c>
      <x:c r="G56" s="30" t="str">
        <x:v>否</x:v>
      </x:c>
      <x:c r="H56" s="30" t="str">
        <x:v>v0.8地区机构样本清单或39所原985母表</x:v>
      </x:c>
      <x:c r="I56" s="30" t="str">
        <x:v>建立相关实验室清单，补查当年度正式指南</x:v>
      </x:c>
    </x:row>
    <x:row r="57" ht="36" customHeight="1">
      <x:c r="A57" s="30" t="str">
        <x:v>地区及全国母表</x:v>
      </x:c>
      <x:c r="B57" s="30" t="str">
        <x:v>上海交通大学</x:v>
      </x:c>
      <x:c r="C57" s="30" t="str">
        <x:v>P2重点地区</x:v>
      </x:c>
      <x:c r="D57" s="30" t="str">
        <x:v>B1 上海985、211与重点理工医科</x:v>
      </x:c>
      <x:c r="E57" s="30" t="str">
        <x:v>已发现部分证据（仍非逐平台完成）：机械系统与振动历年；柔性医疗机器人平台和立项记录，当前窗口待查</x:v>
      </x:c>
      <x:c r="F57" s="30" t="str">
        <x:v>对相关实验室逐个核正式开放指南及附件；若无公告记录已查未发现</x:v>
      </x:c>
      <x:c r="G57" s="30" t="str">
        <x:v>否</x:v>
      </x:c>
      <x:c r="H57" s="30" t="str">
        <x:v>v0.8地区机构样本清单或39所原985母表</x:v>
      </x:c>
      <x:c r="I57" s="30" t="str">
        <x:v>建立相关实验室清单，补查当年度正式指南</x:v>
      </x:c>
    </x:row>
    <x:row r="58" ht="36" customHeight="1">
      <x:c r="A58" s="30" t="str">
        <x:v>地区及全国母表</x:v>
      </x:c>
      <x:c r="B58" s="30" t="str">
        <x:v>同济大学</x:v>
      </x:c>
      <x:c r="C58" s="30" t="str">
        <x:v>P2重点地区</x:v>
      </x:c>
      <x:c r="D58" s="30" t="str">
        <x:v>B1 上海985、211与重点理工医科</x:v>
      </x:c>
      <x:c r="E58" s="30" t="str">
        <x:v>已发现部分证据（仍非逐平台完成）：土木防灾2026开放窗口；脊柱脊髓2026窗口</x:v>
      </x:c>
      <x:c r="F58" s="30" t="str">
        <x:v>对相关实验室逐个核正式开放指南及附件；若无公告记录已查未发现</x:v>
      </x:c>
      <x:c r="G58" s="30" t="str">
        <x:v>否</x:v>
      </x:c>
      <x:c r="H58" s="30" t="str">
        <x:v>v0.8地区机构样本清单或39所原985母表</x:v>
      </x:c>
      <x:c r="I58" s="30" t="str">
        <x:v>建立相关实验室清单，补查当年度正式指南</x:v>
      </x:c>
    </x:row>
    <x:row r="59" ht="36" customHeight="1">
      <x:c r="A59" s="30" t="str">
        <x:v>地区及全国母表</x:v>
      </x:c>
      <x:c r="B59" s="30" t="str">
        <x:v>华东师范大学</x:v>
      </x:c>
      <x:c r="C59" s="30" t="str">
        <x:v>P2重点地区</x:v>
      </x:c>
      <x:c r="D59" s="30" t="str">
        <x:v>B1 上海985、211与重点理工医科</x:v>
      </x:c>
      <x:c r="E59" s="30" t="str">
        <x:v>待逐平台核查；不得标记为无公开项目</x:v>
      </x:c>
      <x:c r="F59" s="30" t="str">
        <x:v>对相关实验室逐个核正式开放指南及附件；若无公告记录已查未发现</x:v>
      </x:c>
      <x:c r="G59" s="30" t="str">
        <x:v>否</x:v>
      </x:c>
      <x:c r="H59" s="30" t="str">
        <x:v>v0.8地区机构样本清单或39所原985母表</x:v>
      </x:c>
      <x:c r="I59" s="30" t="str">
        <x:v>建立相关实验室清单，补查当年度正式指南</x:v>
      </x:c>
    </x:row>
    <x:row r="60" ht="36" customHeight="1">
      <x:c r="A60" s="30" t="str">
        <x:v>地区及全国母表</x:v>
      </x:c>
      <x:c r="B60" s="30" t="str">
        <x:v>上海科技大学</x:v>
      </x:c>
      <x:c r="C60" s="30" t="str">
        <x:v>P2重点地区</x:v>
      </x:c>
      <x:c r="D60" s="30" t="str">
        <x:v>B1 上海985、211与重点理工医科</x:v>
      </x:c>
      <x:c r="E60" s="30" t="str">
        <x:v>已发现部分证据（仍非逐平台完成）：智能感知人机协同10月8日；先进医疗器械第二批10月9日</x:v>
      </x:c>
      <x:c r="F60" s="30" t="str">
        <x:v>对相关实验室逐个核正式开放指南及附件；若无公告记录已查未发现</x:v>
      </x:c>
      <x:c r="G60" s="30" t="str">
        <x:v>否</x:v>
      </x:c>
      <x:c r="H60" s="30" t="str">
        <x:v>v0.8地区机构样本清单或39所原985母表</x:v>
      </x:c>
      <x:c r="I60" s="30" t="str">
        <x:v>建立相关实验室清单，补查当年度正式指南</x:v>
      </x:c>
    </x:row>
    <x:row r="61" ht="36" customHeight="1">
      <x:c r="A61" s="30" t="str">
        <x:v>地区及全国母表</x:v>
      </x:c>
      <x:c r="B61" s="30" t="str">
        <x:v>华东理工大学</x:v>
      </x:c>
      <x:c r="C61" s="30" t="str">
        <x:v>P2重点地区</x:v>
      </x:c>
      <x:c r="D61" s="30" t="str">
        <x:v>B1 上海985、211与重点理工医科</x:v>
      </x:c>
      <x:c r="E61" s="30" t="str">
        <x:v>待逐平台核查；不得标记为无公开项目</x:v>
      </x:c>
      <x:c r="F61" s="30" t="str">
        <x:v>对相关实验室逐个核正式开放指南及附件；若无公告记录已查未发现</x:v>
      </x:c>
      <x:c r="G61" s="30" t="str">
        <x:v>否</x:v>
      </x:c>
      <x:c r="H61" s="30" t="str">
        <x:v>v0.8地区机构样本清单或39所原985母表</x:v>
      </x:c>
      <x:c r="I61" s="30" t="str">
        <x:v>建立相关实验室清单，补查当年度正式指南</x:v>
      </x:c>
    </x:row>
    <x:row r="62" ht="36" customHeight="1">
      <x:c r="A62" s="30" t="str">
        <x:v>地区及全国母表</x:v>
      </x:c>
      <x:c r="B62" s="30" t="str">
        <x:v>东华大学</x:v>
      </x:c>
      <x:c r="C62" s="30" t="str">
        <x:v>P2重点地区</x:v>
      </x:c>
      <x:c r="D62" s="30" t="str">
        <x:v>B1 上海985、211与重点理工医科</x:v>
      </x:c>
      <x:c r="E62" s="30" t="str">
        <x:v>已发现部分证据（仍非逐平台完成）：先进纤维材料2027历史指南</x:v>
      </x:c>
      <x:c r="F62" s="30" t="str">
        <x:v>对相关实验室逐个核正式开放指南及附件；若无公告记录已查未发现</x:v>
      </x:c>
      <x:c r="G62" s="30" t="str">
        <x:v>否</x:v>
      </x:c>
      <x:c r="H62" s="30" t="str">
        <x:v>v0.8地区机构样本清单或39所原985母表</x:v>
      </x:c>
      <x:c r="I62" s="30" t="str">
        <x:v>建立相关实验室清单，补查当年度正式指南</x:v>
      </x:c>
    </x:row>
    <x:row r="63" ht="36" customHeight="1">
      <x:c r="A63" s="30" t="str">
        <x:v>地区及全国母表</x:v>
      </x:c>
      <x:c r="B63" s="30" t="str">
        <x:v>上海大学</x:v>
      </x:c>
      <x:c r="C63" s="30" t="str">
        <x:v>P2重点地区</x:v>
      </x:c>
      <x:c r="D63" s="30" t="str">
        <x:v>B1 上海985、211与重点理工医科</x:v>
      </x:c>
      <x:c r="E63" s="30" t="str">
        <x:v>待逐平台核查；不得标记为无公开项目</x:v>
      </x:c>
      <x:c r="F63" s="30" t="str">
        <x:v>对相关实验室逐个核正式开放指南及附件；若无公告记录已查未发现</x:v>
      </x:c>
      <x:c r="G63" s="30" t="str">
        <x:v>否</x:v>
      </x:c>
      <x:c r="H63" s="30" t="str">
        <x:v>v0.8地区机构样本清单或39所原985母表</x:v>
      </x:c>
      <x:c r="I63" s="30" t="str">
        <x:v>建立相关实验室清单，补查当年度正式指南</x:v>
      </x:c>
    </x:row>
    <x:row r="64" ht="36" customHeight="1">
      <x:c r="A64" s="30" t="str">
        <x:v>地区及全国母表</x:v>
      </x:c>
      <x:c r="B64" s="30" t="str">
        <x:v>上海理工大学</x:v>
      </x:c>
      <x:c r="C64" s="30" t="str">
        <x:v>P2重点地区</x:v>
      </x:c>
      <x:c r="D64" s="30" t="str">
        <x:v>B1 上海985、211与重点理工医科</x:v>
      </x:c>
      <x:c r="E64" s="30" t="str">
        <x:v>待逐平台核查；不得标记为无公开项目</x:v>
      </x:c>
      <x:c r="F64" s="30" t="str">
        <x:v>对相关实验室逐个核正式开放指南及附件；若无公告记录已查未发现</x:v>
      </x:c>
      <x:c r="G64" s="30" t="str">
        <x:v>否</x:v>
      </x:c>
      <x:c r="H64" s="30" t="str">
        <x:v>v0.8地区机构样本清单或39所原985母表</x:v>
      </x:c>
      <x:c r="I64" s="30" t="str">
        <x:v>建立相关实验室清单，补查当年度正式指南</x:v>
      </x:c>
    </x:row>
    <x:row r="65" ht="36" customHeight="1">
      <x:c r="A65" s="30" t="str">
        <x:v>地区及全国母表</x:v>
      </x:c>
      <x:c r="B65" s="30" t="str">
        <x:v>上海中医药大学</x:v>
      </x:c>
      <x:c r="C65" s="30" t="str">
        <x:v>P2重点地区</x:v>
      </x:c>
      <x:c r="D65" s="30" t="str">
        <x:v>B1 上海985、211与重点理工医科</x:v>
      </x:c>
      <x:c r="E65" s="30" t="str">
        <x:v>待逐平台核查；不得标记为无公开项目</x:v>
      </x:c>
      <x:c r="F65" s="30" t="str">
        <x:v>对相关实验室逐个核正式开放指南及附件；若无公告记录已查未发现</x:v>
      </x:c>
      <x:c r="G65" s="30" t="str">
        <x:v>否</x:v>
      </x:c>
      <x:c r="H65" s="30" t="str">
        <x:v>v0.8地区机构样本清单或39所原985母表</x:v>
      </x:c>
      <x:c r="I65" s="30" t="str">
        <x:v>建立相关实验室清单，补查当年度正式指南</x:v>
      </x:c>
    </x:row>
    <x:row r="66" ht="36" customHeight="1">
      <x:c r="A66" s="30" t="str">
        <x:v>地区及全国母表</x:v>
      </x:c>
      <x:c r="B66" s="30" t="str">
        <x:v>上海海事大学</x:v>
      </x:c>
      <x:c r="C66" s="30" t="str">
        <x:v>P2重点地区</x:v>
      </x:c>
      <x:c r="D66" s="30" t="str">
        <x:v>B1 上海985、211与重点理工医科</x:v>
      </x:c>
      <x:c r="E66" s="30" t="str">
        <x:v>待逐平台核查；不得标记为无公开项目</x:v>
      </x:c>
      <x:c r="F66" s="30" t="str">
        <x:v>对相关实验室逐个核正式开放指南及附件；若无公告记录已查未发现</x:v>
      </x:c>
      <x:c r="G66" s="30" t="str">
        <x:v>否</x:v>
      </x:c>
      <x:c r="H66" s="30" t="str">
        <x:v>v0.8地区机构样本清单或39所原985母表</x:v>
      </x:c>
      <x:c r="I66" s="30" t="str">
        <x:v>建立相关实验室清单，补查当年度正式指南</x:v>
      </x:c>
    </x:row>
    <x:row r="67" ht="36" customHeight="1">
      <x:c r="A67" s="30" t="str">
        <x:v>地区及全国母表</x:v>
      </x:c>
      <x:c r="B67" s="30" t="str">
        <x:v>中国科学院上海微系统与信息技术研究所</x:v>
      </x:c>
      <x:c r="C67" s="30" t="str">
        <x:v>P2重点地区</x:v>
      </x:c>
      <x:c r="D67" s="30" t="str">
        <x:v>B2 上海研究机构</x:v>
      </x:c>
      <x:c r="E67" s="30" t="str">
        <x:v>已发现部分证据（仍非逐平台完成）：传感器技术全重2026指南及拟立项</x:v>
      </x:c>
      <x:c r="F67" s="30" t="str">
        <x:v>对相关实验室逐个核正式开放指南及附件；若无公告记录已查未发现</x:v>
      </x:c>
      <x:c r="G67" s="30" t="str">
        <x:v>否</x:v>
      </x:c>
      <x:c r="H67" s="30" t="str">
        <x:v>v0.8地区机构样本清单或39所原985母表</x:v>
      </x:c>
      <x:c r="I67" s="30" t="str">
        <x:v>建立相关实验室清单，补查当年度正式指南</x:v>
      </x:c>
    </x:row>
    <x:row r="68" ht="36" customHeight="1">
      <x:c r="A68" s="30" t="str">
        <x:v>地区及全国母表</x:v>
      </x:c>
      <x:c r="B68" s="30" t="str">
        <x:v>中国科学院上海技术物理研究所</x:v>
      </x:c>
      <x:c r="C68" s="30" t="str">
        <x:v>P2重点地区</x:v>
      </x:c>
      <x:c r="D68" s="30" t="str">
        <x:v>B2 上海研究机构</x:v>
      </x:c>
      <x:c r="E68" s="30" t="str">
        <x:v>待逐平台核查；不得标记为无公开项目</x:v>
      </x:c>
      <x:c r="F68" s="30" t="str">
        <x:v>对相关实验室逐个核正式开放指南及附件；若无公告记录已查未发现</x:v>
      </x:c>
      <x:c r="G68" s="30" t="str">
        <x:v>否</x:v>
      </x:c>
      <x:c r="H68" s="30" t="str">
        <x:v>v0.8地区机构样本清单或39所原985母表</x:v>
      </x:c>
      <x:c r="I68" s="30" t="str">
        <x:v>建立相关实验室清单，补查当年度正式指南</x:v>
      </x:c>
    </x:row>
    <x:row r="69" ht="36" customHeight="1">
      <x:c r="A69" s="30" t="str">
        <x:v>地区及全国母表</x:v>
      </x:c>
      <x:c r="B69" s="30" t="str">
        <x:v>中国科学院上海高等研究院</x:v>
      </x:c>
      <x:c r="C69" s="30" t="str">
        <x:v>P2重点地区</x:v>
      </x:c>
      <x:c r="D69" s="30" t="str">
        <x:v>B2 上海研究机构</x:v>
      </x:c>
      <x:c r="E69" s="30" t="str">
        <x:v>待逐平台核查；不得标记为无公开项目</x:v>
      </x:c>
      <x:c r="F69" s="30" t="str">
        <x:v>对相关实验室逐个核正式开放指南及附件；若无公告记录已查未发现</x:v>
      </x:c>
      <x:c r="G69" s="30" t="str">
        <x:v>否</x:v>
      </x:c>
      <x:c r="H69" s="30" t="str">
        <x:v>v0.8地区机构样本清单或39所原985母表</x:v>
      </x:c>
      <x:c r="I69" s="30" t="str">
        <x:v>建立相关实验室清单，补查当年度正式指南</x:v>
      </x:c>
    </x:row>
    <x:row r="70" ht="36" customHeight="1">
      <x:c r="A70" s="30" t="str">
        <x:v>地区及全国母表</x:v>
      </x:c>
      <x:c r="B70" s="30" t="str">
        <x:v>中国科学院上海生命科学有关研究机构</x:v>
      </x:c>
      <x:c r="C70" s="30" t="str">
        <x:v>P2重点地区</x:v>
      </x:c>
      <x:c r="D70" s="30" t="str">
        <x:v>B2 上海研究机构</x:v>
      </x:c>
      <x:c r="E70" s="30" t="str">
        <x:v>待逐平台核查；不得标记为无公开项目</x:v>
      </x:c>
      <x:c r="F70" s="30" t="str">
        <x:v>对相关实验室逐个核正式开放指南及附件；若无公告记录已查未发现</x:v>
      </x:c>
      <x:c r="G70" s="30" t="str">
        <x:v>否</x:v>
      </x:c>
      <x:c r="H70" s="30" t="str">
        <x:v>v0.8地区机构样本清单或39所原985母表</x:v>
      </x:c>
      <x:c r="I70" s="30" t="str">
        <x:v>建立相关实验室清单，补查当年度正式指南</x:v>
      </x:c>
    </x:row>
    <x:row r="71" ht="36" customHeight="1">
      <x:c r="A71" s="30" t="str">
        <x:v>地区及全国母表</x:v>
      </x:c>
      <x:c r="B71" s="30" t="str">
        <x:v>上海人工智能实验室</x:v>
      </x:c>
      <x:c r="C71" s="30" t="str">
        <x:v>P2重点地区</x:v>
      </x:c>
      <x:c r="D71" s="30" t="str">
        <x:v>B2 上海研究机构</x:v>
      </x:c>
      <x:c r="E71" s="30" t="str">
        <x:v>待逐平台核查；不得标记为无公开项目</x:v>
      </x:c>
      <x:c r="F71" s="30" t="str">
        <x:v>对相关实验室逐个核正式开放指南及附件；若无公告记录已查未发现</x:v>
      </x:c>
      <x:c r="G71" s="30" t="str">
        <x:v>否</x:v>
      </x:c>
      <x:c r="H71" s="30" t="str">
        <x:v>v0.8地区机构样本清单或39所原985母表</x:v>
      </x:c>
      <x:c r="I71" s="30" t="str">
        <x:v>建立相关实验室清单，补查当年度正式指南</x:v>
      </x:c>
    </x:row>
    <x:row r="72" ht="36" customHeight="1">
      <x:c r="A72" s="30" t="str">
        <x:v>地区及全国母表</x:v>
      </x:c>
      <x:c r="B72" s="30" t="str">
        <x:v>上海医疗机器人研究院及柔性医疗机器人平台</x:v>
      </x:c>
      <x:c r="C72" s="30" t="str">
        <x:v>P2重点地区</x:v>
      </x:c>
      <x:c r="D72" s="30" t="str">
        <x:v>B2 上海研究机构</x:v>
      </x:c>
      <x:c r="E72" s="30" t="str">
        <x:v>待逐平台核查；不得标记为无公开项目</x:v>
      </x:c>
      <x:c r="F72" s="30" t="str">
        <x:v>对相关实验室逐个核正式开放指南及附件；若无公告记录已查未发现</x:v>
      </x:c>
      <x:c r="G72" s="30" t="str">
        <x:v>否</x:v>
      </x:c>
      <x:c r="H72" s="30" t="str">
        <x:v>v0.8地区机构样本清单或39所原985母表</x:v>
      </x:c>
      <x:c r="I72" s="30" t="str">
        <x:v>建立相关实验室清单，补查当年度正式指南</x:v>
      </x:c>
    </x:row>
    <x:row r="73" ht="36" customHeight="1">
      <x:c r="A73" s="30" t="str">
        <x:v>地区及全国母表</x:v>
      </x:c>
      <x:c r="B73" s="30" t="str">
        <x:v>中国科学技术大学</x:v>
      </x:c>
      <x:c r="C73" s="30" t="str">
        <x:v>P2重点地区</x:v>
      </x:c>
      <x:c r="D73" s="30" t="str">
        <x:v>B3 合肥与杭州</x:v>
      </x:c>
      <x:c r="E73" s="30" t="str">
        <x:v>已发现部分证据（仍非逐平台完成）：脑启发智能感知2026开放指南</x:v>
      </x:c>
      <x:c r="F73" s="30" t="str">
        <x:v>对相关实验室逐个核正式开放指南及附件；若无公告记录已查未发现</x:v>
      </x:c>
      <x:c r="G73" s="30" t="str">
        <x:v>否</x:v>
      </x:c>
      <x:c r="H73" s="30" t="str">
        <x:v>v0.8地区机构样本清单或39所原985母表</x:v>
      </x:c>
      <x:c r="I73" s="30" t="str">
        <x:v>建立相关实验室清单，补查当年度正式指南</x:v>
      </x:c>
    </x:row>
    <x:row r="74" ht="36" customHeight="1">
      <x:c r="A74" s="30" t="str">
        <x:v>地区及全国母表</x:v>
      </x:c>
      <x:c r="B74" s="30" t="str">
        <x:v>合肥工业大学</x:v>
      </x:c>
      <x:c r="C74" s="30" t="str">
        <x:v>P2重点地区</x:v>
      </x:c>
      <x:c r="D74" s="30" t="str">
        <x:v>B3 合肥与杭州</x:v>
      </x:c>
      <x:c r="E74" s="30" t="str">
        <x:v>待逐平台核查；不得标记为无公开项目</x:v>
      </x:c>
      <x:c r="F74" s="30" t="str">
        <x:v>对相关实验室逐个核正式开放指南及附件；若无公告记录已查未发现</x:v>
      </x:c>
      <x:c r="G74" s="30" t="str">
        <x:v>否</x:v>
      </x:c>
      <x:c r="H74" s="30" t="str">
        <x:v>v0.8地区机构样本清单或39所原985母表</x:v>
      </x:c>
      <x:c r="I74" s="30" t="str">
        <x:v>建立相关实验室清单，补查当年度正式指南</x:v>
      </x:c>
    </x:row>
    <x:row r="75" ht="36" customHeight="1">
      <x:c r="A75" s="30" t="str">
        <x:v>地区及全国母表</x:v>
      </x:c>
      <x:c r="B75" s="30" t="str">
        <x:v>安徽大学</x:v>
      </x:c>
      <x:c r="C75" s="30" t="str">
        <x:v>P2重点地区</x:v>
      </x:c>
      <x:c r="D75" s="30" t="str">
        <x:v>B3 合肥与杭州</x:v>
      </x:c>
      <x:c r="E75" s="30" t="str">
        <x:v>待逐平台核查；不得标记为无公开项目</x:v>
      </x:c>
      <x:c r="F75" s="30" t="str">
        <x:v>对相关实验室逐个核正式开放指南及附件；若无公告记录已查未发现</x:v>
      </x:c>
      <x:c r="G75" s="30" t="str">
        <x:v>否</x:v>
      </x:c>
      <x:c r="H75" s="30" t="str">
        <x:v>v0.8地区机构样本清单或39所原985母表</x:v>
      </x:c>
      <x:c r="I75" s="30" t="str">
        <x:v>建立相关实验室清单，补查当年度正式指南</x:v>
      </x:c>
    </x:row>
    <x:row r="76" ht="36" customHeight="1">
      <x:c r="A76" s="30" t="str">
        <x:v>地区及全国母表</x:v>
      </x:c>
      <x:c r="B76" s="30" t="str">
        <x:v>安徽医科大学</x:v>
      </x:c>
      <x:c r="C76" s="30" t="str">
        <x:v>P2重点地区</x:v>
      </x:c>
      <x:c r="D76" s="30" t="str">
        <x:v>B3 合肥与杭州</x:v>
      </x:c>
      <x:c r="E76" s="30" t="str">
        <x:v>待逐平台核查；不得标记为无公开项目</x:v>
      </x:c>
      <x:c r="F76" s="30" t="str">
        <x:v>对相关实验室逐个核正式开放指南及附件；若无公告记录已查未发现</x:v>
      </x:c>
      <x:c r="G76" s="30" t="str">
        <x:v>否</x:v>
      </x:c>
      <x:c r="H76" s="30" t="str">
        <x:v>v0.8地区机构样本清单或39所原985母表</x:v>
      </x:c>
      <x:c r="I76" s="30" t="str">
        <x:v>建立相关实验室清单，补查当年度正式指南</x:v>
      </x:c>
    </x:row>
    <x:row r="77" ht="36" customHeight="1">
      <x:c r="A77" s="30" t="str">
        <x:v>地区及全国母表</x:v>
      </x:c>
      <x:c r="B77" s="30" t="str">
        <x:v>中国科学院合肥物质科学研究院</x:v>
      </x:c>
      <x:c r="C77" s="30" t="str">
        <x:v>P2重点地区</x:v>
      </x:c>
      <x:c r="D77" s="30" t="str">
        <x:v>B3 合肥与杭州</x:v>
      </x:c>
      <x:c r="E77" s="30" t="str">
        <x:v>待逐平台核查；不得标记为无公开项目</x:v>
      </x:c>
      <x:c r="F77" s="30" t="str">
        <x:v>对相关实验室逐个核正式开放指南及附件；若无公告记录已查未发现</x:v>
      </x:c>
      <x:c r="G77" s="30" t="str">
        <x:v>否</x:v>
      </x:c>
      <x:c r="H77" s="30" t="str">
        <x:v>v0.8地区机构样本清单或39所原985母表</x:v>
      </x:c>
      <x:c r="I77" s="30" t="str">
        <x:v>建立相关实验室清单，补查当年度正式指南</x:v>
      </x:c>
    </x:row>
    <x:row r="78" ht="36" customHeight="1">
      <x:c r="A78" s="30" t="str">
        <x:v>地区及全国母表</x:v>
      </x:c>
      <x:c r="B78" s="30" t="str">
        <x:v>合肥智能机械研究所</x:v>
      </x:c>
      <x:c r="C78" s="30" t="str">
        <x:v>P2重点地区</x:v>
      </x:c>
      <x:c r="D78" s="30" t="str">
        <x:v>B3 合肥与杭州</x:v>
      </x:c>
      <x:c r="E78" s="30" t="str">
        <x:v>待逐平台核查；不得标记为无公开项目</x:v>
      </x:c>
      <x:c r="F78" s="30" t="str">
        <x:v>对相关实验室逐个核正式开放指南及附件；若无公告记录已查未发现</x:v>
      </x:c>
      <x:c r="G78" s="30" t="str">
        <x:v>否</x:v>
      </x:c>
      <x:c r="H78" s="30" t="str">
        <x:v>v0.8地区机构样本清单或39所原985母表</x:v>
      </x:c>
      <x:c r="I78" s="30" t="str">
        <x:v>建立相关实验室清单，补查当年度正式指南</x:v>
      </x:c>
    </x:row>
    <x:row r="79" ht="36" customHeight="1">
      <x:c r="A79" s="30" t="str">
        <x:v>地区及全国母表</x:v>
      </x:c>
      <x:c r="B79" s="30" t="str">
        <x:v>浙江大学</x:v>
      </x:c>
      <x:c r="C79" s="30" t="str">
        <x:v>P2重点地区</x:v>
      </x:c>
      <x:c r="D79" s="30" t="str">
        <x:v>B3 合肥与杭州</x:v>
      </x:c>
      <x:c r="E79" s="30" t="str">
        <x:v>已发现部分证据（仍非逐平台完成）：工业控制技术2026—27历史指南</x:v>
      </x:c>
      <x:c r="F79" s="30" t="str">
        <x:v>对相关实验室逐个核正式开放指南及附件；若无公告记录已查未发现</x:v>
      </x:c>
      <x:c r="G79" s="30" t="str">
        <x:v>否</x:v>
      </x:c>
      <x:c r="H79" s="30" t="str">
        <x:v>v0.8地区机构样本清单或39所原985母表</x:v>
      </x:c>
      <x:c r="I79" s="30" t="str">
        <x:v>建立相关实验室清单，补查当年度正式指南</x:v>
      </x:c>
    </x:row>
    <x:row r="80" ht="36" customHeight="1">
      <x:c r="A80" s="30" t="str">
        <x:v>地区及全国母表</x:v>
      </x:c>
      <x:c r="B80" s="30" t="str">
        <x:v>杭州电子科技大学</x:v>
      </x:c>
      <x:c r="C80" s="30" t="str">
        <x:v>P2重点地区</x:v>
      </x:c>
      <x:c r="D80" s="30" t="str">
        <x:v>B3 合肥与杭州</x:v>
      </x:c>
      <x:c r="E80" s="30" t="str">
        <x:v>待逐平台核查；不得标记为无公开项目</x:v>
      </x:c>
      <x:c r="F80" s="30" t="str">
        <x:v>对相关实验室逐个核正式开放指南及附件；若无公告记录已查未发现</x:v>
      </x:c>
      <x:c r="G80" s="30" t="str">
        <x:v>否</x:v>
      </x:c>
      <x:c r="H80" s="30" t="str">
        <x:v>v0.8地区机构样本清单或39所原985母表</x:v>
      </x:c>
      <x:c r="I80" s="30" t="str">
        <x:v>建立相关实验室清单，补查当年度正式指南</x:v>
      </x:c>
    </x:row>
    <x:row r="81" ht="36" customHeight="1">
      <x:c r="A81" s="30" t="str">
        <x:v>地区及全国母表</x:v>
      </x:c>
      <x:c r="B81" s="30" t="str">
        <x:v>浙江工业大学</x:v>
      </x:c>
      <x:c r="C81" s="30" t="str">
        <x:v>P2重点地区</x:v>
      </x:c>
      <x:c r="D81" s="30" t="str">
        <x:v>B3 合肥与杭州</x:v>
      </x:c>
      <x:c r="E81" s="30" t="str">
        <x:v>待逐平台核查；不得标记为无公开项目</x:v>
      </x:c>
      <x:c r="F81" s="30" t="str">
        <x:v>对相关实验室逐个核正式开放指南及附件；若无公告记录已查未发现</x:v>
      </x:c>
      <x:c r="G81" s="30" t="str">
        <x:v>否</x:v>
      </x:c>
      <x:c r="H81" s="30" t="str">
        <x:v>v0.8地区机构样本清单或39所原985母表</x:v>
      </x:c>
      <x:c r="I81" s="30" t="str">
        <x:v>建立相关实验室清单，补查当年度正式指南</x:v>
      </x:c>
    </x:row>
    <x:row r="82" ht="36" customHeight="1">
      <x:c r="A82" s="30" t="str">
        <x:v>地区及全国母表</x:v>
      </x:c>
      <x:c r="B82" s="30" t="str">
        <x:v>浙江理工大学</x:v>
      </x:c>
      <x:c r="C82" s="30" t="str">
        <x:v>P2重点地区</x:v>
      </x:c>
      <x:c r="D82" s="30" t="str">
        <x:v>B3 合肥与杭州</x:v>
      </x:c>
      <x:c r="E82" s="30" t="str">
        <x:v>待逐平台核查；不得标记为无公开项目</x:v>
      </x:c>
      <x:c r="F82" s="30" t="str">
        <x:v>对相关实验室逐个核正式开放指南及附件；若无公告记录已查未发现</x:v>
      </x:c>
      <x:c r="G82" s="30" t="str">
        <x:v>否</x:v>
      </x:c>
      <x:c r="H82" s="30" t="str">
        <x:v>v0.8地区机构样本清单或39所原985母表</x:v>
      </x:c>
      <x:c r="I82" s="30" t="str">
        <x:v>建立相关实验室清单，补查当年度正式指南</x:v>
      </x:c>
    </x:row>
    <x:row r="83" ht="36" customHeight="1">
      <x:c r="A83" s="30" t="str">
        <x:v>地区及全国母表</x:v>
      </x:c>
      <x:c r="B83" s="30" t="str">
        <x:v>杭州师范大学</x:v>
      </x:c>
      <x:c r="C83" s="30" t="str">
        <x:v>P2重点地区</x:v>
      </x:c>
      <x:c r="D83" s="30" t="str">
        <x:v>B3 合肥与杭州</x:v>
      </x:c>
      <x:c r="E83" s="30" t="str">
        <x:v>待逐平台核查；不得标记为无公开项目</x:v>
      </x:c>
      <x:c r="F83" s="30" t="str">
        <x:v>对相关实验室逐个核正式开放指南及附件；若无公告记录已查未发现</x:v>
      </x:c>
      <x:c r="G83" s="30" t="str">
        <x:v>否</x:v>
      </x:c>
      <x:c r="H83" s="30" t="str">
        <x:v>v0.8地区机构样本清单或39所原985母表</x:v>
      </x:c>
      <x:c r="I83" s="30" t="str">
        <x:v>建立相关实验室清单，补查当年度正式指南</x:v>
      </x:c>
    </x:row>
    <x:row r="84" ht="36" customHeight="1">
      <x:c r="A84" s="30" t="str">
        <x:v>地区及全国母表</x:v>
      </x:c>
      <x:c r="B84" s="30" t="str">
        <x:v>西湖大学</x:v>
      </x:c>
      <x:c r="C84" s="30" t="str">
        <x:v>P2重点地区</x:v>
      </x:c>
      <x:c r="D84" s="30" t="str">
        <x:v>B3 合肥与杭州</x:v>
      </x:c>
      <x:c r="E84" s="30" t="str">
        <x:v>待逐平台核查；不得标记为无公开项目</x:v>
      </x:c>
      <x:c r="F84" s="30" t="str">
        <x:v>对相关实验室逐个核正式开放指南及附件；若无公告记录已查未发现</x:v>
      </x:c>
      <x:c r="G84" s="30" t="str">
        <x:v>否</x:v>
      </x:c>
      <x:c r="H84" s="30" t="str">
        <x:v>v0.8地区机构样本清单或39所原985母表</x:v>
      </x:c>
      <x:c r="I84" s="30" t="str">
        <x:v>建立相关实验室清单，补查当年度正式指南</x:v>
      </x:c>
    </x:row>
    <x:row r="85" ht="36" customHeight="1">
      <x:c r="A85" s="30" t="str">
        <x:v>地区及全国母表</x:v>
      </x:c>
      <x:c r="B85" s="30" t="str">
        <x:v>深圳大学</x:v>
      </x:c>
      <x:c r="C85" s="30" t="str">
        <x:v>P2重点地区</x:v>
      </x:c>
      <x:c r="D85" s="30" t="str">
        <x:v>C1 深圳</x:v>
      </x:c>
      <x:c r="E85" s="30" t="str">
        <x:v>已发现部分证据（仍非逐平台完成）：射频异质异构集成2026历史指南</x:v>
      </x:c>
      <x:c r="F85" s="30" t="str">
        <x:v>对相关实验室逐个核正式开放指南及附件；若无公告记录已查未发现</x:v>
      </x:c>
      <x:c r="G85" s="30" t="str">
        <x:v>否</x:v>
      </x:c>
      <x:c r="H85" s="30" t="str">
        <x:v>v0.8地区机构样本清单或39所原985母表</x:v>
      </x:c>
      <x:c r="I85" s="30" t="str">
        <x:v>建立相关实验室清单，补查当年度正式指南</x:v>
      </x:c>
    </x:row>
    <x:row r="86" ht="36" customHeight="1">
      <x:c r="A86" s="30" t="str">
        <x:v>地区及全国母表</x:v>
      </x:c>
      <x:c r="B86" s="30" t="str">
        <x:v>南方科技大学</x:v>
      </x:c>
      <x:c r="C86" s="30" t="str">
        <x:v>P2重点地区</x:v>
      </x:c>
      <x:c r="D86" s="30" t="str">
        <x:v>C1 深圳</x:v>
      </x:c>
      <x:c r="E86" s="30" t="str">
        <x:v>已发现部分证据（仍非逐平台完成）：量子功能材料2026已截止；仿生材料基金2026已截止</x:v>
      </x:c>
      <x:c r="F86" s="30" t="str">
        <x:v>对相关实验室逐个核正式开放指南及附件；若无公告记录已查未发现</x:v>
      </x:c>
      <x:c r="G86" s="30" t="str">
        <x:v>否</x:v>
      </x:c>
      <x:c r="H86" s="30" t="str">
        <x:v>v0.8地区机构样本清单或39所原985母表</x:v>
      </x:c>
      <x:c r="I86" s="30" t="str">
        <x:v>建立相关实验室清单，补查当年度正式指南</x:v>
      </x:c>
    </x:row>
    <x:row r="87" ht="36" customHeight="1">
      <x:c r="A87" s="30" t="str">
        <x:v>地区及全国母表</x:v>
      </x:c>
      <x:c r="B87" s="30" t="str">
        <x:v>香港中文大学（深圳）</x:v>
      </x:c>
      <x:c r="C87" s="30" t="str">
        <x:v>P2重点地区</x:v>
      </x:c>
      <x:c r="D87" s="30" t="str">
        <x:v>C1 深圳</x:v>
      </x:c>
      <x:c r="E87" s="30" t="str">
        <x:v>已发现部分证据（仍非逐平台完成）：关联AIRS医疗机器人2026历史开放</x:v>
      </x:c>
      <x:c r="F87" s="30" t="str">
        <x:v>对相关实验室逐个核正式开放指南及附件；若无公告记录已查未发现</x:v>
      </x:c>
      <x:c r="G87" s="30" t="str">
        <x:v>否</x:v>
      </x:c>
      <x:c r="H87" s="30" t="str">
        <x:v>v0.8地区机构样本清单或39所原985母表</x:v>
      </x:c>
      <x:c r="I87" s="30" t="str">
        <x:v>建立相关实验室清单，补查当年度正式指南</x:v>
      </x:c>
    </x:row>
    <x:row r="88" ht="36" customHeight="1">
      <x:c r="A88" s="30" t="str">
        <x:v>地区及全国母表</x:v>
      </x:c>
      <x:c r="B88" s="30" t="str">
        <x:v>哈尔滨工业大学（深圳）</x:v>
      </x:c>
      <x:c r="C88" s="30" t="str">
        <x:v>P2重点地区</x:v>
      </x:c>
      <x:c r="D88" s="30" t="str">
        <x:v>C1 深圳</x:v>
      </x:c>
      <x:c r="E88" s="30" t="str">
        <x:v>已发现部分证据（仍非逐平台完成）：先进运动控制重点实验室2026历史指南</x:v>
      </x:c>
      <x:c r="F88" s="30" t="str">
        <x:v>对相关实验室逐个核正式开放指南及附件；若无公告记录已查未发现</x:v>
      </x:c>
      <x:c r="G88" s="30" t="str">
        <x:v>否</x:v>
      </x:c>
      <x:c r="H88" s="30" t="str">
        <x:v>v0.8地区机构样本清单或39所原985母表</x:v>
      </x:c>
      <x:c r="I88" s="30" t="str">
        <x:v>建立相关实验室清单，补查当年度正式指南</x:v>
      </x:c>
    </x:row>
    <x:row r="89" ht="36" customHeight="1">
      <x:c r="A89" s="30" t="str">
        <x:v>地区及全国母表</x:v>
      </x:c>
      <x:c r="B89" s="30" t="str">
        <x:v>深圳理工大学</x:v>
      </x:c>
      <x:c r="C89" s="30" t="str">
        <x:v>P2重点地区</x:v>
      </x:c>
      <x:c r="D89" s="30" t="str">
        <x:v>C1 深圳</x:v>
      </x:c>
      <x:c r="E89" s="30" t="str">
        <x:v>待逐平台核查；不得标记为无公开项目</x:v>
      </x:c>
      <x:c r="F89" s="30" t="str">
        <x:v>对相关实验室逐个核正式开放指南及附件；若无公告记录已查未发现</x:v>
      </x:c>
      <x:c r="G89" s="30" t="str">
        <x:v>否</x:v>
      </x:c>
      <x:c r="H89" s="30" t="str">
        <x:v>v0.8地区机构样本清单或39所原985母表</x:v>
      </x:c>
      <x:c r="I89" s="30" t="str">
        <x:v>建立相关实验室清单，补查当年度正式指南</x:v>
      </x:c>
    </x:row>
    <x:row r="90" ht="36" customHeight="1">
      <x:c r="A90" s="30" t="str">
        <x:v>地区及全国母表</x:v>
      </x:c>
      <x:c r="B90" s="30" t="str">
        <x:v>香港科技大学（广州）关联深圳协作平台</x:v>
      </x:c>
      <x:c r="C90" s="30" t="str">
        <x:v>P2重点地区</x:v>
      </x:c>
      <x:c r="D90" s="30" t="str">
        <x:v>C1 深圳</x:v>
      </x:c>
      <x:c r="E90" s="30" t="str">
        <x:v>待逐平台核查；不得标记为无公开项目</x:v>
      </x:c>
      <x:c r="F90" s="30" t="str">
        <x:v>对相关实验室逐个核正式开放指南及附件；若无公告记录已查未发现</x:v>
      </x:c>
      <x:c r="G90" s="30" t="str">
        <x:v>否</x:v>
      </x:c>
      <x:c r="H90" s="30" t="str">
        <x:v>v0.8地区机构样本清单或39所原985母表</x:v>
      </x:c>
      <x:c r="I90" s="30" t="str">
        <x:v>建立相关实验室清单，补查当年度正式指南</x:v>
      </x:c>
    </x:row>
    <x:row r="91" ht="36" customHeight="1">
      <x:c r="A91" s="30" t="str">
        <x:v>地区及全国母表</x:v>
      </x:c>
      <x:c r="B91" s="30" t="str">
        <x:v>中国科学院深圳先进技术研究院</x:v>
      </x:c>
      <x:c r="C91" s="30" t="str">
        <x:v>P2重点地区</x:v>
      </x:c>
      <x:c r="D91" s="30" t="str">
        <x:v>C1 深圳</x:v>
      </x:c>
      <x:c r="E91" s="30" t="str">
        <x:v>已发现部分证据（仍非逐平台完成）：医学成像科学与技术系统全重2026历史指南</x:v>
      </x:c>
      <x:c r="F91" s="30" t="str">
        <x:v>对相关实验室逐个核正式开放指南及附件；若无公告记录已查未发现</x:v>
      </x:c>
      <x:c r="G91" s="30" t="str">
        <x:v>否</x:v>
      </x:c>
      <x:c r="H91" s="30" t="str">
        <x:v>v0.8地区机构样本清单或39所原985母表</x:v>
      </x:c>
      <x:c r="I91" s="30" t="str">
        <x:v>建立相关实验室清单，补查当年度正式指南</x:v>
      </x:c>
    </x:row>
    <x:row r="92" ht="36" customHeight="1">
      <x:c r="A92" s="30" t="str">
        <x:v>地区及全国母表</x:v>
      </x:c>
      <x:c r="B92" s="30" t="str">
        <x:v>深圳市人工智能与机器人研究院AIRS</x:v>
      </x:c>
      <x:c r="C92" s="30" t="str">
        <x:v>P2重点地区</x:v>
      </x:c>
      <x:c r="D92" s="30" t="str">
        <x:v>C1 深圳</x:v>
      </x:c>
      <x:c r="E92" s="30" t="str">
        <x:v>已发现部分证据（仍非逐平台完成）：医疗机器人2026历史指南（8/15已截止）</x:v>
      </x:c>
      <x:c r="F92" s="30" t="str">
        <x:v>对相关实验室逐个核正式开放指南及附件；若无公告记录已查未发现</x:v>
      </x:c>
      <x:c r="G92" s="30" t="str">
        <x:v>否</x:v>
      </x:c>
      <x:c r="H92" s="30" t="str">
        <x:v>v0.8地区机构样本清单或39所原985母表</x:v>
      </x:c>
      <x:c r="I92" s="30" t="str">
        <x:v>建立相关实验室清单，补查当年度正式指南</x:v>
      </x:c>
    </x:row>
    <x:row r="93" ht="36" customHeight="1">
      <x:c r="A93" s="30" t="str">
        <x:v>地区及全国母表</x:v>
      </x:c>
      <x:c r="B93" s="30" t="str">
        <x:v>鹏城实验室</x:v>
      </x:c>
      <x:c r="C93" s="30" t="str">
        <x:v>P2重点地区</x:v>
      </x:c>
      <x:c r="D93" s="30" t="str">
        <x:v>C1 深圳</x:v>
      </x:c>
      <x:c r="E93" s="30" t="str">
        <x:v>待逐平台核查；不得标记为无公开项目</x:v>
      </x:c>
      <x:c r="F93" s="30" t="str">
        <x:v>对相关实验室逐个核正式开放指南及附件；若无公告记录已查未发现</x:v>
      </x:c>
      <x:c r="G93" s="30" t="str">
        <x:v>否</x:v>
      </x:c>
      <x:c r="H93" s="30" t="str">
        <x:v>v0.8地区机构样本清单或39所原985母表</x:v>
      </x:c>
      <x:c r="I93" s="30" t="str">
        <x:v>建立相关实验室清单，补查当年度正式指南</x:v>
      </x:c>
    </x:row>
    <x:row r="94" ht="36" customHeight="1">
      <x:c r="A94" s="30" t="str">
        <x:v>地区及全国母表</x:v>
      </x:c>
      <x:c r="B94" s="30" t="str">
        <x:v>光明实验室</x:v>
      </x:c>
      <x:c r="C94" s="30" t="str">
        <x:v>P2重点地区</x:v>
      </x:c>
      <x:c r="D94" s="30" t="str">
        <x:v>C1 深圳</x:v>
      </x:c>
      <x:c r="E94" s="30" t="str">
        <x:v>已发现部分证据（仍非逐平台完成）：第一、第二批2026指南均已截止</x:v>
      </x:c>
      <x:c r="F94" s="30" t="str">
        <x:v>对相关实验室逐个核正式开放指南及附件；若无公告记录已查未发现</x:v>
      </x:c>
      <x:c r="G94" s="30" t="str">
        <x:v>否</x:v>
      </x:c>
      <x:c r="H94" s="30" t="str">
        <x:v>v0.8地区机构样本清单或39所原985母表</x:v>
      </x:c>
      <x:c r="I94" s="30" t="str">
        <x:v>建立相关实验室清单，补查当年度正式指南</x:v>
      </x:c>
    </x:row>
    <x:row r="95" ht="36" customHeight="1">
      <x:c r="A95" s="30" t="str">
        <x:v>地区及全国母表</x:v>
      </x:c>
      <x:c r="B95" s="30" t="str">
        <x:v>深圳湾实验室</x:v>
      </x:c>
      <x:c r="C95" s="30" t="str">
        <x:v>P2重点地区</x:v>
      </x:c>
      <x:c r="D95" s="30" t="str">
        <x:v>C1 深圳</x:v>
      </x:c>
      <x:c r="E95" s="30" t="str">
        <x:v>待逐平台核查；不得标记为无公开项目</x:v>
      </x:c>
      <x:c r="F95" s="30" t="str">
        <x:v>对相关实验室逐个核正式开放指南及附件；若无公告记录已查未发现</x:v>
      </x:c>
      <x:c r="G95" s="30" t="str">
        <x:v>否</x:v>
      </x:c>
      <x:c r="H95" s="30" t="str">
        <x:v>v0.8地区机构样本清单或39所原985母表</x:v>
      </x:c>
      <x:c r="I95" s="30" t="str">
        <x:v>建立相关实验室清单，补查当年度正式指南</x:v>
      </x:c>
    </x:row>
    <x:row r="96" ht="36" customHeight="1">
      <x:c r="A96" s="30" t="str">
        <x:v>地区及全国母表</x:v>
      </x:c>
      <x:c r="B96" s="30" t="str">
        <x:v>深圳医学科学院</x:v>
      </x:c>
      <x:c r="C96" s="30" t="str">
        <x:v>P2重点地区</x:v>
      </x:c>
      <x:c r="D96" s="30" t="str">
        <x:v>C1 深圳</x:v>
      </x:c>
      <x:c r="E96" s="30" t="str">
        <x:v>待逐平台核查；不得标记为无公开项目</x:v>
      </x:c>
      <x:c r="F96" s="30" t="str">
        <x:v>对相关实验室逐个核正式开放指南及附件；若无公告记录已查未发现</x:v>
      </x:c>
      <x:c r="G96" s="30" t="str">
        <x:v>否</x:v>
      </x:c>
      <x:c r="H96" s="30" t="str">
        <x:v>v0.8地区机构样本清单或39所原985母表</x:v>
      </x:c>
      <x:c r="I96" s="30" t="str">
        <x:v>建立相关实验室清单，补查当年度正式指南</x:v>
      </x:c>
    </x:row>
    <x:row r="97" ht="36" customHeight="1">
      <x:c r="A97" s="30" t="str">
        <x:v>地区及全国母表</x:v>
      </x:c>
      <x:c r="B97" s="30" t="str">
        <x:v>国家高性能医疗器械创新中心</x:v>
      </x:c>
      <x:c r="C97" s="30" t="str">
        <x:v>P2重点地区</x:v>
      </x:c>
      <x:c r="D97" s="30" t="str">
        <x:v>C1 深圳</x:v>
      </x:c>
      <x:c r="E97" s="30" t="str">
        <x:v>已发现部分证据（仍非逐平台完成）：历史项目公告及批次待核</x:v>
      </x:c>
      <x:c r="F97" s="30" t="str">
        <x:v>对相关实验室逐个核正式开放指南及附件；若无公告记录已查未发现</x:v>
      </x:c>
      <x:c r="G97" s="30" t="str">
        <x:v>否</x:v>
      </x:c>
      <x:c r="H97" s="30" t="str">
        <x:v>v0.8地区机构样本清单或39所原985母表</x:v>
      </x:c>
      <x:c r="I97" s="30" t="str">
        <x:v>建立相关实验室清单，补查当年度正式指南</x:v>
      </x:c>
    </x:row>
    <x:row r="98" ht="36" customHeight="1">
      <x:c r="A98" s="30" t="str">
        <x:v>地区及全国母表</x:v>
      </x:c>
      <x:c r="B98" s="30" t="str">
        <x:v>中山大学</x:v>
      </x:c>
      <x:c r="C98" s="30" t="str">
        <x:v>P2重点地区</x:v>
      </x:c>
      <x:c r="D98" s="30" t="str">
        <x:v>C2 广州、东莞与珠海</x:v>
      </x:c>
      <x:c r="E98" s="30" t="str">
        <x:v>待逐平台核查；不得标记为无公开项目</x:v>
      </x:c>
      <x:c r="F98" s="30" t="str">
        <x:v>对相关实验室逐个核正式开放指南及附件；若无公告记录已查未发现</x:v>
      </x:c>
      <x:c r="G98" s="30" t="str">
        <x:v>否</x:v>
      </x:c>
      <x:c r="H98" s="30" t="str">
        <x:v>v0.8地区机构样本清单或39所原985母表</x:v>
      </x:c>
      <x:c r="I98" s="30" t="str">
        <x:v>建立相关实验室清单，补查当年度正式指南</x:v>
      </x:c>
    </x:row>
    <x:row r="99" ht="36" customHeight="1">
      <x:c r="A99" s="30" t="str">
        <x:v>地区及全国母表</x:v>
      </x:c>
      <x:c r="B99" s="30" t="str">
        <x:v>暨南大学</x:v>
      </x:c>
      <x:c r="C99" s="30" t="str">
        <x:v>P2重点地区</x:v>
      </x:c>
      <x:c r="D99" s="30" t="str">
        <x:v>C2 广州、东莞与珠海</x:v>
      </x:c>
      <x:c r="E99" s="30" t="str">
        <x:v>待逐平台核查；不得标记为无公开项目</x:v>
      </x:c>
      <x:c r="F99" s="30" t="str">
        <x:v>对相关实验室逐个核正式开放指南及附件；若无公告记录已查未发现</x:v>
      </x:c>
      <x:c r="G99" s="30" t="str">
        <x:v>否</x:v>
      </x:c>
      <x:c r="H99" s="30" t="str">
        <x:v>v0.8地区机构样本清单或39所原985母表</x:v>
      </x:c>
      <x:c r="I99" s="30" t="str">
        <x:v>建立相关实验室清单，补查当年度正式指南</x:v>
      </x:c>
    </x:row>
    <x:row r="100" ht="36" customHeight="1">
      <x:c r="A100" s="30" t="str">
        <x:v>地区及全国母表</x:v>
      </x:c>
      <x:c r="B100" s="30" t="str">
        <x:v>华南师范大学</x:v>
      </x:c>
      <x:c r="C100" s="30" t="str">
        <x:v>P2重点地区</x:v>
      </x:c>
      <x:c r="D100" s="30" t="str">
        <x:v>C2 广州、东莞与珠海</x:v>
      </x:c>
      <x:c r="E100" s="30" t="str">
        <x:v>待逐平台核查；不得标记为无公开项目</x:v>
      </x:c>
      <x:c r="F100" s="30" t="str">
        <x:v>对相关实验室逐个核正式开放指南及附件；若无公告记录已查未发现</x:v>
      </x:c>
      <x:c r="G100" s="30" t="str">
        <x:v>否</x:v>
      </x:c>
      <x:c r="H100" s="30" t="str">
        <x:v>v0.8地区机构样本清单或39所原985母表</x:v>
      </x:c>
      <x:c r="I100" s="30" t="str">
        <x:v>建立相关实验室清单，补查当年度正式指南</x:v>
      </x:c>
    </x:row>
    <x:row r="101" ht="36" customHeight="1">
      <x:c r="A101" s="30" t="str">
        <x:v>地区及全国母表</x:v>
      </x:c>
      <x:c r="B101" s="30" t="str">
        <x:v>南方医科大学</x:v>
      </x:c>
      <x:c r="C101" s="30" t="str">
        <x:v>P2重点地区</x:v>
      </x:c>
      <x:c r="D101" s="30" t="str">
        <x:v>C2 广州、东莞与珠海</x:v>
      </x:c>
      <x:c r="E101" s="30" t="str">
        <x:v>待逐平台核查；不得标记为无公开项目</x:v>
      </x:c>
      <x:c r="F101" s="30" t="str">
        <x:v>对相关实验室逐个核正式开放指南及附件；若无公告记录已查未发现</x:v>
      </x:c>
      <x:c r="G101" s="30" t="str">
        <x:v>否</x:v>
      </x:c>
      <x:c r="H101" s="30" t="str">
        <x:v>v0.8地区机构样本清单或39所原985母表</x:v>
      </x:c>
      <x:c r="I101" s="30" t="str">
        <x:v>建立相关实验室清单，补查当年度正式指南</x:v>
      </x:c>
    </x:row>
    <x:row r="102" ht="36" customHeight="1">
      <x:c r="A102" s="30" t="str">
        <x:v>地区及全国母表</x:v>
      </x:c>
      <x:c r="B102" s="30" t="str">
        <x:v>广东工业大学</x:v>
      </x:c>
      <x:c r="C102" s="30" t="str">
        <x:v>P2重点地区</x:v>
      </x:c>
      <x:c r="D102" s="30" t="str">
        <x:v>C2 广州、东莞与珠海</x:v>
      </x:c>
      <x:c r="E102" s="30" t="str">
        <x:v>待逐平台核查；不得标记为无公开项目</x:v>
      </x:c>
      <x:c r="F102" s="30" t="str">
        <x:v>对相关实验室逐个核正式开放指南及附件；若无公告记录已查未发现</x:v>
      </x:c>
      <x:c r="G102" s="30" t="str">
        <x:v>否</x:v>
      </x:c>
      <x:c r="H102" s="30" t="str">
        <x:v>v0.8地区机构样本清单或39所原985母表</x:v>
      </x:c>
      <x:c r="I102" s="30" t="str">
        <x:v>建立相关实验室清单，补查当年度正式指南</x:v>
      </x:c>
    </x:row>
    <x:row r="103" ht="36" customHeight="1">
      <x:c r="A103" s="30" t="str">
        <x:v>地区及全国母表</x:v>
      </x:c>
      <x:c r="B103" s="30" t="str">
        <x:v>广州大学</x:v>
      </x:c>
      <x:c r="C103" s="30" t="str">
        <x:v>P2重点地区</x:v>
      </x:c>
      <x:c r="D103" s="30" t="str">
        <x:v>C2 广州、东莞与珠海</x:v>
      </x:c>
      <x:c r="E103" s="30" t="str">
        <x:v>待逐平台核查；不得标记为无公开项目</x:v>
      </x:c>
      <x:c r="F103" s="30" t="str">
        <x:v>对相关实验室逐个核正式开放指南及附件；若无公告记录已查未发现</x:v>
      </x:c>
      <x:c r="G103" s="30" t="str">
        <x:v>否</x:v>
      </x:c>
      <x:c r="H103" s="30" t="str">
        <x:v>v0.8地区机构样本清单或39所原985母表</x:v>
      </x:c>
      <x:c r="I103" s="30" t="str">
        <x:v>建立相关实验室清单，补查当年度正式指南</x:v>
      </x:c>
    </x:row>
    <x:row r="104" ht="36" customHeight="1">
      <x:c r="A104" s="30" t="str">
        <x:v>地区及全国母表</x:v>
      </x:c>
      <x:c r="B104" s="30" t="str">
        <x:v>广州医科大学</x:v>
      </x:c>
      <x:c r="C104" s="30" t="str">
        <x:v>P2重点地区</x:v>
      </x:c>
      <x:c r="D104" s="30" t="str">
        <x:v>C2 广州、东莞与珠海</x:v>
      </x:c>
      <x:c r="E104" s="30" t="str">
        <x:v>待逐平台核查；不得标记为无公开项目</x:v>
      </x:c>
      <x:c r="F104" s="30" t="str">
        <x:v>对相关实验室逐个核正式开放指南及附件；若无公告记录已查未发现</x:v>
      </x:c>
      <x:c r="G104" s="30" t="str">
        <x:v>否</x:v>
      </x:c>
      <x:c r="H104" s="30" t="str">
        <x:v>v0.8地区机构样本清单或39所原985母表</x:v>
      </x:c>
      <x:c r="I104" s="30" t="str">
        <x:v>建立相关实验室清单，补查当年度正式指南</x:v>
      </x:c>
    </x:row>
    <x:row r="105" ht="36" customHeight="1">
      <x:c r="A105" s="30" t="str">
        <x:v>地区及全国母表</x:v>
      </x:c>
      <x:c r="B105" s="30" t="str">
        <x:v>广东省科学院</x:v>
      </x:c>
      <x:c r="C105" s="30" t="str">
        <x:v>P2重点地区</x:v>
      </x:c>
      <x:c r="D105" s="30" t="str">
        <x:v>C2 广州、东莞与珠海</x:v>
      </x:c>
      <x:c r="E105" s="30" t="str">
        <x:v>待逐平台核查；不得标记为无公开项目</x:v>
      </x:c>
      <x:c r="F105" s="30" t="str">
        <x:v>对相关实验室逐个核正式开放指南及附件；若无公告记录已查未发现</x:v>
      </x:c>
      <x:c r="G105" s="30" t="str">
        <x:v>否</x:v>
      </x:c>
      <x:c r="H105" s="30" t="str">
        <x:v>v0.8地区机构样本清单或39所原985母表</x:v>
      </x:c>
      <x:c r="I105" s="30" t="str">
        <x:v>建立相关实验室清单，补查当年度正式指南</x:v>
      </x:c>
    </x:row>
    <x:row r="106" ht="36" customHeight="1">
      <x:c r="A106" s="30" t="str">
        <x:v>地区及全国母表</x:v>
      </x:c>
      <x:c r="B106" s="30" t="str">
        <x:v>广东省智能机器人研究院</x:v>
      </x:c>
      <x:c r="C106" s="30" t="str">
        <x:v>P2重点地区</x:v>
      </x:c>
      <x:c r="D106" s="30" t="str">
        <x:v>C2 广州、东莞与珠海</x:v>
      </x:c>
      <x:c r="E106" s="30" t="str">
        <x:v>待逐平台核查；不得标记为无公开项目</x:v>
      </x:c>
      <x:c r="F106" s="30" t="str">
        <x:v>对相关实验室逐个核正式开放指南及附件；若无公告记录已查未发现</x:v>
      </x:c>
      <x:c r="G106" s="30" t="str">
        <x:v>否</x:v>
      </x:c>
      <x:c r="H106" s="30" t="str">
        <x:v>v0.8地区机构样本清单或39所原985母表</x:v>
      </x:c>
      <x:c r="I106" s="30" t="str">
        <x:v>建立相关实验室清单，补查当年度正式指南</x:v>
      </x:c>
    </x:row>
    <x:row r="107" ht="36" customHeight="1">
      <x:c r="A107" s="30" t="str">
        <x:v>地区及全国母表</x:v>
      </x:c>
      <x:c r="B107" s="30" t="str">
        <x:v>东莞理工学院</x:v>
      </x:c>
      <x:c r="C107" s="30" t="str">
        <x:v>P2重点地区</x:v>
      </x:c>
      <x:c r="D107" s="30" t="str">
        <x:v>C2 广州、东莞与珠海</x:v>
      </x:c>
      <x:c r="E107" s="30" t="str">
        <x:v>待逐平台核查；不得标记为无公开项目</x:v>
      </x:c>
      <x:c r="F107" s="30" t="str">
        <x:v>对相关实验室逐个核正式开放指南及附件；若无公告记录已查未发现</x:v>
      </x:c>
      <x:c r="G107" s="30" t="str">
        <x:v>否</x:v>
      </x:c>
      <x:c r="H107" s="30" t="str">
        <x:v>v0.8地区机构样本清单或39所原985母表</x:v>
      </x:c>
      <x:c r="I107" s="30" t="str">
        <x:v>建立相关实验室清单，补查当年度正式指南</x:v>
      </x:c>
    </x:row>
    <x:row r="108" ht="36" customHeight="1">
      <x:c r="A108" s="30" t="str">
        <x:v>地区及全国母表</x:v>
      </x:c>
      <x:c r="B108" s="30" t="str">
        <x:v>松山湖材料实验室</x:v>
      </x:c>
      <x:c r="C108" s="30" t="str">
        <x:v>P2重点地区</x:v>
      </x:c>
      <x:c r="D108" s="30" t="str">
        <x:v>C2 广州、东莞与珠海</x:v>
      </x:c>
      <x:c r="E108" s="30" t="str">
        <x:v>待逐平台核查；不得标记为无公开项目</x:v>
      </x:c>
      <x:c r="F108" s="30" t="str">
        <x:v>对相关实验室逐个核正式开放指南及附件；若无公告记录已查未发现</x:v>
      </x:c>
      <x:c r="G108" s="30" t="str">
        <x:v>否</x:v>
      </x:c>
      <x:c r="H108" s="30" t="str">
        <x:v>v0.8地区机构样本清单或39所原985母表</x:v>
      </x:c>
      <x:c r="I108" s="30" t="str">
        <x:v>建立相关实验室清单，补查当年度正式指南</x:v>
      </x:c>
    </x:row>
    <x:row r="109" ht="36" customHeight="1">
      <x:c r="A109" s="30" t="str">
        <x:v>地区及全国母表</x:v>
      </x:c>
      <x:c r="B109" s="30" t="str">
        <x:v>北京师范大学—香港浸会大学联合国际学院</x:v>
      </x:c>
      <x:c r="C109" s="30" t="str">
        <x:v>P2重点地区</x:v>
      </x:c>
      <x:c r="D109" s="30" t="str">
        <x:v>C2 广州、东莞与珠海</x:v>
      </x:c>
      <x:c r="E109" s="30" t="str">
        <x:v>待逐平台核查；不得标记为无公开项目</x:v>
      </x:c>
      <x:c r="F109" s="30" t="str">
        <x:v>对相关实验室逐个核正式开放指南及附件；若无公告记录已查未发现</x:v>
      </x:c>
      <x:c r="G109" s="30" t="str">
        <x:v>否</x:v>
      </x:c>
      <x:c r="H109" s="30" t="str">
        <x:v>v0.8地区机构样本清单或39所原985母表</x:v>
      </x:c>
      <x:c r="I109" s="30" t="str">
        <x:v>建立相关实验室清单，补查当年度正式指南</x:v>
      </x:c>
    </x:row>
    <x:row r="110" ht="36" customHeight="1">
      <x:c r="A110" s="30" t="str">
        <x:v>地区及全国母表</x:v>
      </x:c>
      <x:c r="B110" s="30" t="str">
        <x:v>香港大学</x:v>
      </x:c>
      <x:c r="C110" s="30" t="str">
        <x:v>P2重点地区</x:v>
      </x:c>
      <x:c r="D110" s="30" t="str">
        <x:v>C3 香港</x:v>
      </x:c>
      <x:c r="E110" s="30" t="str">
        <x:v>已发现部分证据（仍非逐平台完成）：合成化学全重公开合作机制，2026结果已出</x:v>
      </x:c>
      <x:c r="F110" s="30" t="str">
        <x:v>对相关实验室逐个核正式开放指南及附件；若无公告记录已查未发现</x:v>
      </x:c>
      <x:c r="G110" s="30" t="str">
        <x:v>否</x:v>
      </x:c>
      <x:c r="H110" s="30" t="str">
        <x:v>v0.8地区机构样本清单或39所原985母表</x:v>
      </x:c>
      <x:c r="I110" s="30" t="str">
        <x:v>建立相关实验室清单，补查当年度正式指南</x:v>
      </x:c>
    </x:row>
    <x:row r="111" ht="36" customHeight="1">
      <x:c r="A111" s="30" t="str">
        <x:v>地区及全国母表</x:v>
      </x:c>
      <x:c r="B111" s="30" t="str">
        <x:v>香港中文大学</x:v>
      </x:c>
      <x:c r="C111" s="30" t="str">
        <x:v>P2重点地区</x:v>
      </x:c>
      <x:c r="D111" s="30" t="str">
        <x:v>C3 香港</x:v>
      </x:c>
      <x:c r="E111" s="30" t="str">
        <x:v>待逐平台核查；不得标记为无公开项目</x:v>
      </x:c>
      <x:c r="F111" s="30" t="str">
        <x:v>对相关实验室逐个核正式开放指南及附件；若无公告记录已查未发现</x:v>
      </x:c>
      <x:c r="G111" s="30" t="str">
        <x:v>否</x:v>
      </x:c>
      <x:c r="H111" s="30" t="str">
        <x:v>v0.8地区机构样本清单或39所原985母表</x:v>
      </x:c>
      <x:c r="I111" s="30" t="str">
        <x:v>建立相关实验室清单，补查当年度正式指南</x:v>
      </x:c>
    </x:row>
    <x:row r="112" ht="36" customHeight="1">
      <x:c r="A112" s="30" t="str">
        <x:v>地区及全国母表</x:v>
      </x:c>
      <x:c r="B112" s="30" t="str">
        <x:v>香港科技大学</x:v>
      </x:c>
      <x:c r="C112" s="30" t="str">
        <x:v>P2重点地区</x:v>
      </x:c>
      <x:c r="D112" s="30" t="str">
        <x:v>C3 香港</x:v>
      </x:c>
      <x:c r="E112" s="30" t="str">
        <x:v>待逐平台核查；不得标记为无公开项目</x:v>
      </x:c>
      <x:c r="F112" s="30" t="str">
        <x:v>对相关实验室逐个核正式开放指南及附件；若无公告记录已查未发现</x:v>
      </x:c>
      <x:c r="G112" s="30" t="str">
        <x:v>否</x:v>
      </x:c>
      <x:c r="H112" s="30" t="str">
        <x:v>v0.8地区机构样本清单或39所原985母表</x:v>
      </x:c>
      <x:c r="I112" s="30" t="str">
        <x:v>建立相关实验室清单，补查当年度正式指南</x:v>
      </x:c>
    </x:row>
    <x:row r="113" ht="36" customHeight="1">
      <x:c r="A113" s="30" t="str">
        <x:v>地区及全国母表</x:v>
      </x:c>
      <x:c r="B113" s="30" t="str">
        <x:v>香港城市大学</x:v>
      </x:c>
      <x:c r="C113" s="30" t="str">
        <x:v>P2重点地区</x:v>
      </x:c>
      <x:c r="D113" s="30" t="str">
        <x:v>C3 香港</x:v>
      </x:c>
      <x:c r="E113" s="30" t="str">
        <x:v>待逐平台核查；不得标记为无公开项目</x:v>
      </x:c>
      <x:c r="F113" s="30" t="str">
        <x:v>对相关实验室逐个核正式开放指南及附件；若无公告记录已查未发现</x:v>
      </x:c>
      <x:c r="G113" s="30" t="str">
        <x:v>否</x:v>
      </x:c>
      <x:c r="H113" s="30" t="str">
        <x:v>v0.8地区机构样本清单或39所原985母表</x:v>
      </x:c>
      <x:c r="I113" s="30" t="str">
        <x:v>建立相关实验室清单，补查当年度正式指南</x:v>
      </x:c>
    </x:row>
    <x:row r="114" ht="36" customHeight="1">
      <x:c r="A114" s="30" t="str">
        <x:v>地区及全国母表</x:v>
      </x:c>
      <x:c r="B114" s="30" t="str">
        <x:v>香港浸会大学</x:v>
      </x:c>
      <x:c r="C114" s="30" t="str">
        <x:v>P2重点地区</x:v>
      </x:c>
      <x:c r="D114" s="30" t="str">
        <x:v>C3 香港</x:v>
      </x:c>
      <x:c r="E114" s="30" t="str">
        <x:v>待逐平台核查；不得标记为无公开项目</x:v>
      </x:c>
      <x:c r="F114" s="30" t="str">
        <x:v>对相关实验室逐个核正式开放指南及附件；若无公告记录已查未发现</x:v>
      </x:c>
      <x:c r="G114" s="30" t="str">
        <x:v>否</x:v>
      </x:c>
      <x:c r="H114" s="30" t="str">
        <x:v>v0.8地区机构样本清单或39所原985母表</x:v>
      </x:c>
      <x:c r="I114" s="30" t="str">
        <x:v>建立相关实验室清单，补查当年度正式指南</x:v>
      </x:c>
    </x:row>
    <x:row r="115" ht="36" customHeight="1">
      <x:c r="A115" s="30" t="str">
        <x:v>地区及全国母表</x:v>
      </x:c>
      <x:c r="B115" s="30" t="str">
        <x:v>香港教育大学</x:v>
      </x:c>
      <x:c r="C115" s="30" t="str">
        <x:v>P2重点地区</x:v>
      </x:c>
      <x:c r="D115" s="30" t="str">
        <x:v>C3 香港</x:v>
      </x:c>
      <x:c r="E115" s="30" t="str">
        <x:v>待逐平台核查；不得标记为无公开项目</x:v>
      </x:c>
      <x:c r="F115" s="30" t="str">
        <x:v>对相关实验室逐个核正式开放指南及附件；若无公告记录已查未发现</x:v>
      </x:c>
      <x:c r="G115" s="30" t="str">
        <x:v>否</x:v>
      </x:c>
      <x:c r="H115" s="30" t="str">
        <x:v>v0.8地区机构样本清单或39所原985母表</x:v>
      </x:c>
      <x:c r="I115" s="30" t="str">
        <x:v>建立相关实验室清单，补查当年度正式指南</x:v>
      </x:c>
    </x:row>
    <x:row r="116" ht="36" customHeight="1">
      <x:c r="A116" s="30" t="str">
        <x:v>地区及全国母表</x:v>
      </x:c>
      <x:c r="B116" s="30" t="str">
        <x:v>岭南大学</x:v>
      </x:c>
      <x:c r="C116" s="30" t="str">
        <x:v>P2重点地区</x:v>
      </x:c>
      <x:c r="D116" s="30" t="str">
        <x:v>C3 香港</x:v>
      </x:c>
      <x:c r="E116" s="30" t="str">
        <x:v>待逐平台核查；不得标记为无公开项目</x:v>
      </x:c>
      <x:c r="F116" s="30" t="str">
        <x:v>对相关实验室逐个核正式开放指南及附件；若无公告记录已查未发现</x:v>
      </x:c>
      <x:c r="G116" s="30" t="str">
        <x:v>否</x:v>
      </x:c>
      <x:c r="H116" s="30" t="str">
        <x:v>v0.8地区机构样本清单或39所原985母表</x:v>
      </x:c>
      <x:c r="I116" s="30" t="str">
        <x:v>建立相关实验室清单，补查当年度正式指南</x:v>
      </x:c>
    </x:row>
    <x:row r="117" ht="36" customHeight="1">
      <x:c r="A117" s="30" t="str">
        <x:v>地区及全国母表</x:v>
      </x:c>
      <x:c r="B117" s="30" t="str">
        <x:v>香港应用科技研究院ASTRI</x:v>
      </x:c>
      <x:c r="C117" s="30" t="str">
        <x:v>P2重点地区</x:v>
      </x:c>
      <x:c r="D117" s="30" t="str">
        <x:v>C3 香港</x:v>
      </x:c>
      <x:c r="E117" s="30" t="str">
        <x:v>待逐平台核查；不得标记为无公开项目</x:v>
      </x:c>
      <x:c r="F117" s="30" t="str">
        <x:v>对相关实验室逐个核正式开放指南及附件；若无公告记录已查未发现</x:v>
      </x:c>
      <x:c r="G117" s="30" t="str">
        <x:v>否</x:v>
      </x:c>
      <x:c r="H117" s="30" t="str">
        <x:v>v0.8地区机构样本清单或39所原985母表</x:v>
      </x:c>
      <x:c r="I117" s="30" t="str">
        <x:v>建立相关实验室清单，补查当年度正式指南</x:v>
      </x:c>
    </x:row>
    <x:row r="118" ht="36" customHeight="1">
      <x:c r="A118" s="30" t="str">
        <x:v>地区及全国母表</x:v>
      </x:c>
      <x:c r="B118" s="30" t="str">
        <x:v>香港科技园的公开研究资助平台</x:v>
      </x:c>
      <x:c r="C118" s="30" t="str">
        <x:v>P2重点地区</x:v>
      </x:c>
      <x:c r="D118" s="30" t="str">
        <x:v>C3 香港</x:v>
      </x:c>
      <x:c r="E118" s="30" t="str">
        <x:v>待逐平台核查；不得标记为无公开项目</x:v>
      </x:c>
      <x:c r="F118" s="30" t="str">
        <x:v>对相关实验室逐个核正式开放指南及附件；若无公告记录已查未发现</x:v>
      </x:c>
      <x:c r="G118" s="30" t="str">
        <x:v>否</x:v>
      </x:c>
      <x:c r="H118" s="30" t="str">
        <x:v>v0.8地区机构样本清单或39所原985母表</x:v>
      </x:c>
      <x:c r="I118" s="30" t="str">
        <x:v>建立相关实验室清单，补查当年度正式指南</x:v>
      </x:c>
    </x:row>
    <x:row r="119" ht="36" customHeight="1">
      <x:c r="A119" s="30" t="str">
        <x:v>地区及全国母表</x:v>
      </x:c>
      <x:c r="B119" s="30" t="str">
        <x:v>澳门科技大学</x:v>
      </x:c>
      <x:c r="C119" s="30" t="str">
        <x:v>P2重点地区</x:v>
      </x:c>
      <x:c r="D119" s="30" t="str">
        <x:v>C4 澳门</x:v>
      </x:c>
      <x:c r="E119" s="30" t="str">
        <x:v>已发现部分证据（仍非逐平台完成）：月球行星重点实验室开放课题栏目，无2026截止日核实</x:v>
      </x:c>
      <x:c r="F119" s="30" t="str">
        <x:v>对相关实验室逐个核正式开放指南及附件；若无公告记录已查未发现</x:v>
      </x:c>
      <x:c r="G119" s="30" t="str">
        <x:v>否</x:v>
      </x:c>
      <x:c r="H119" s="30" t="str">
        <x:v>v0.8地区机构样本清单或39所原985母表</x:v>
      </x:c>
      <x:c r="I119" s="30" t="str">
        <x:v>建立相关实验室清单，补查当年度正式指南</x:v>
      </x:c>
    </x:row>
    <x:row r="120" ht="36" customHeight="1">
      <x:c r="A120" s="30" t="str">
        <x:v>地区及全国母表</x:v>
      </x:c>
      <x:c r="B120" s="30" t="str">
        <x:v>澳门理工大学</x:v>
      </x:c>
      <x:c r="C120" s="30" t="str">
        <x:v>P2重点地区</x:v>
      </x:c>
      <x:c r="D120" s="30" t="str">
        <x:v>C4 澳门</x:v>
      </x:c>
      <x:c r="E120" s="30" t="str">
        <x:v>待逐平台核查；不得标记为无公开项目</x:v>
      </x:c>
      <x:c r="F120" s="30" t="str">
        <x:v>对相关实验室逐个核正式开放指南及附件；若无公告记录已查未发现</x:v>
      </x:c>
      <x:c r="G120" s="30" t="str">
        <x:v>否</x:v>
      </x:c>
      <x:c r="H120" s="30" t="str">
        <x:v>v0.8地区机构样本清单或39所原985母表</x:v>
      </x:c>
      <x:c r="I120" s="30" t="str">
        <x:v>建立相关实验室清单，补查当年度正式指南</x:v>
      </x:c>
    </x:row>
    <x:row r="121" ht="36" customHeight="1">
      <x:c r="A121" s="30" t="str">
        <x:v>地区及全国母表</x:v>
      </x:c>
      <x:c r="B121" s="30" t="str">
        <x:v>澳门城市大学</x:v>
      </x:c>
      <x:c r="C121" s="30" t="str">
        <x:v>P2重点地区</x:v>
      </x:c>
      <x:c r="D121" s="30" t="str">
        <x:v>C4 澳门</x:v>
      </x:c>
      <x:c r="E121" s="30" t="str">
        <x:v>待逐平台核查；不得标记为无公开项目</x:v>
      </x:c>
      <x:c r="F121" s="30" t="str">
        <x:v>对相关实验室逐个核正式开放指南及附件；若无公告记录已查未发现</x:v>
      </x:c>
      <x:c r="G121" s="30" t="str">
        <x:v>否</x:v>
      </x:c>
      <x:c r="H121" s="30" t="str">
        <x:v>v0.8地区机构样本清单或39所原985母表</x:v>
      </x:c>
      <x:c r="I121" s="30" t="str">
        <x:v>建立相关实验室清单，补查当年度正式指南</x:v>
      </x:c>
    </x:row>
    <x:row r="122" ht="36" customHeight="1">
      <x:c r="A122" s="30" t="str">
        <x:v>地区及全国母表</x:v>
      </x:c>
      <x:c r="B122" s="30" t="str">
        <x:v>澳门大学各全国重点实验室</x:v>
      </x:c>
      <x:c r="C122" s="30" t="str">
        <x:v>P2重点地区</x:v>
      </x:c>
      <x:c r="D122" s="30" t="str">
        <x:v>C4 澳门</x:v>
      </x:c>
      <x:c r="E122" s="30" t="str">
        <x:v>待逐平台核查；不得标记为无公开项目</x:v>
      </x:c>
      <x:c r="F122" s="30" t="str">
        <x:v>对相关实验室逐个核正式开放指南及附件；若无公告记录已查未发现</x:v>
      </x:c>
      <x:c r="G122" s="30" t="str">
        <x:v>否</x:v>
      </x:c>
      <x:c r="H122" s="30" t="str">
        <x:v>v0.8地区机构样本清单或39所原985母表</x:v>
      </x:c>
      <x:c r="I122" s="30" t="str">
        <x:v>建立相关实验室清单，补查当年度正式指南</x:v>
      </x:c>
    </x:row>
    <x:row r="123" ht="36" customHeight="1">
      <x:c r="A123" s="30" t="str">
        <x:v>地区及全国母表</x:v>
      </x:c>
      <x:c r="B123" s="30" t="str">
        <x:v>澳门科技大学各全国重点实验室</x:v>
      </x:c>
      <x:c r="C123" s="30" t="str">
        <x:v>P2重点地区</x:v>
      </x:c>
      <x:c r="D123" s="30" t="str">
        <x:v>C4 澳门</x:v>
      </x:c>
      <x:c r="E123" s="30" t="str">
        <x:v>待逐平台核查；不得标记为无公开项目</x:v>
      </x:c>
      <x:c r="F123" s="30" t="str">
        <x:v>对相关实验室逐个核正式开放指南及附件；若无公告记录已查未发现</x:v>
      </x:c>
      <x:c r="G123" s="30" t="str">
        <x:v>否</x:v>
      </x:c>
      <x:c r="H123" s="30" t="str">
        <x:v>v0.8地区机构样本清单或39所原985母表</x:v>
      </x:c>
      <x:c r="I123" s="30" t="str">
        <x:v>建立相关实验室清单，补查当年度正式指南</x:v>
      </x:c>
    </x:row>
    <x:row r="124" ht="36" customHeight="1">
      <x:c r="A124" s="30" t="str">
        <x:v>地区及全国母表</x:v>
      </x:c>
      <x:c r="B124" s="30" t="str">
        <x:v>北京大学</x:v>
      </x:c>
      <x:c r="C124" s="30" t="str">
        <x:v>全国985覆盖</x:v>
      </x:c>
      <x:c r="D124" s="30" t="str">
        <x:v>原985高校母表</x:v>
      </x:c>
      <x:c r="E124" s="30" t="str">
        <x:v>已发现至少一条历史公告线索；仍未完成校内全部相关平台检查</x:v>
      </x:c>
      <x:c r="F124" s="30" t="str">
        <x:v>读取相关实验室完整清单，逐平台核公告及附件</x:v>
      </x:c>
      <x:c r="G124" s="30" t="str">
        <x:v>否</x:v>
      </x:c>
      <x:c r="H124" s="30" t="str">
        <x:v>v0.8地区机构样本清单或39所原985母表</x:v>
      </x:c>
      <x:c r="I124" s="30" t="str">
        <x:v>建立相关实验室清单，补查当年度正式指南</x:v>
      </x:c>
    </x:row>
    <x:row r="125" ht="36" customHeight="1">
      <x:c r="A125" s="30" t="str">
        <x:v>地区及全国母表</x:v>
      </x:c>
      <x:c r="B125" s="30" t="str">
        <x:v>清华大学</x:v>
      </x:c>
      <x:c r="C125" s="30" t="str">
        <x:v>全国985覆盖</x:v>
      </x:c>
      <x:c r="D125" s="30" t="str">
        <x:v>原985高校母表</x:v>
      </x:c>
      <x:c r="E125" s="30" t="str">
        <x:v>已发现至少一条历史公告线索；仍未完成校内全部相关平台检查</x:v>
      </x:c>
      <x:c r="F125" s="30" t="str">
        <x:v>读取相关实验室完整清单，逐平台核公告及附件</x:v>
      </x:c>
      <x:c r="G125" s="30" t="str">
        <x:v>否</x:v>
      </x:c>
      <x:c r="H125" s="30" t="str">
        <x:v>v0.8地区机构样本清单或39所原985母表</x:v>
      </x:c>
      <x:c r="I125" s="30" t="str">
        <x:v>建立相关实验室清单，补查当年度正式指南</x:v>
      </x:c>
    </x:row>
    <x:row r="126" ht="36" customHeight="1">
      <x:c r="A126" s="30" t="str">
        <x:v>地区及全国母表</x:v>
      </x:c>
      <x:c r="B126" s="30" t="str">
        <x:v>中国人民大学</x:v>
      </x:c>
      <x:c r="C126" s="30" t="str">
        <x:v>全国985覆盖</x:v>
      </x:c>
      <x:c r="D126" s="30" t="str">
        <x:v>原985高校母表</x:v>
      </x:c>
      <x:c r="E126" s="30" t="str">
        <x:v>尚未建立逐平台检索记录</x:v>
      </x:c>
      <x:c r="F126" s="30" t="str">
        <x:v>读取相关实验室完整清单，逐平台核公告及附件</x:v>
      </x:c>
      <x:c r="G126" s="30" t="str">
        <x:v>否</x:v>
      </x:c>
      <x:c r="H126" s="30" t="str">
        <x:v>v0.8地区机构样本清单或39所原985母表</x:v>
      </x:c>
      <x:c r="I126" s="30" t="str">
        <x:v>建立相关实验室清单，补查当年度正式指南</x:v>
      </x:c>
    </x:row>
    <x:row r="127" ht="36" customHeight="1">
      <x:c r="A127" s="30" t="str">
        <x:v>地区及全国母表</x:v>
      </x:c>
      <x:c r="B127" s="30" t="str">
        <x:v>北京航空航天大学</x:v>
      </x:c>
      <x:c r="C127" s="30" t="str">
        <x:v>全国985覆盖</x:v>
      </x:c>
      <x:c r="D127" s="30" t="str">
        <x:v>原985高校母表</x:v>
      </x:c>
      <x:c r="E127" s="30" t="str">
        <x:v>已发现至少一条历史公告线索；仍未完成校内全部相关平台检查</x:v>
      </x:c>
      <x:c r="F127" s="30" t="str">
        <x:v>读取相关实验室完整清单，逐平台核公告及附件</x:v>
      </x:c>
      <x:c r="G127" s="30" t="str">
        <x:v>否</x:v>
      </x:c>
      <x:c r="H127" s="30" t="str">
        <x:v>v0.8地区机构样本清单或39所原985母表</x:v>
      </x:c>
      <x:c r="I127" s="30" t="str">
        <x:v>建立相关实验室清单，补查当年度正式指南</x:v>
      </x:c>
    </x:row>
    <x:row r="128" ht="36" customHeight="1">
      <x:c r="A128" s="30" t="str">
        <x:v>地区及全国母表</x:v>
      </x:c>
      <x:c r="B128" s="30" t="str">
        <x:v>北京理工大学</x:v>
      </x:c>
      <x:c r="C128" s="30" t="str">
        <x:v>全国985覆盖</x:v>
      </x:c>
      <x:c r="D128" s="30" t="str">
        <x:v>原985高校母表</x:v>
      </x:c>
      <x:c r="E128" s="30" t="str">
        <x:v>已发现至少一条历史公告线索；仍未完成校内全部相关平台检查</x:v>
      </x:c>
      <x:c r="F128" s="30" t="str">
        <x:v>读取相关实验室完整清单，逐平台核公告及附件</x:v>
      </x:c>
      <x:c r="G128" s="30" t="str">
        <x:v>否</x:v>
      </x:c>
      <x:c r="H128" s="30" t="str">
        <x:v>v0.8地区机构样本清单或39所原985母表</x:v>
      </x:c>
      <x:c r="I128" s="30" t="str">
        <x:v>建立相关实验室清单，补查当年度正式指南</x:v>
      </x:c>
    </x:row>
    <x:row r="129" ht="36" customHeight="1">
      <x:c r="A129" s="30" t="str">
        <x:v>地区及全国母表</x:v>
      </x:c>
      <x:c r="B129" s="30" t="str">
        <x:v>北京师范大学</x:v>
      </x:c>
      <x:c r="C129" s="30" t="str">
        <x:v>全国985覆盖</x:v>
      </x:c>
      <x:c r="D129" s="30" t="str">
        <x:v>原985高校母表</x:v>
      </x:c>
      <x:c r="E129" s="30" t="str">
        <x:v>尚未建立逐平台检索记录</x:v>
      </x:c>
      <x:c r="F129" s="30" t="str">
        <x:v>读取相关实验室完整清单，逐平台核公告及附件</x:v>
      </x:c>
      <x:c r="G129" s="30" t="str">
        <x:v>否</x:v>
      </x:c>
      <x:c r="H129" s="30" t="str">
        <x:v>v0.8地区机构样本清单或39所原985母表</x:v>
      </x:c>
      <x:c r="I129" s="30" t="str">
        <x:v>建立相关实验室清单，补查当年度正式指南</x:v>
      </x:c>
    </x:row>
    <x:row r="130" ht="36" customHeight="1">
      <x:c r="A130" s="30" t="str">
        <x:v>地区及全国母表</x:v>
      </x:c>
      <x:c r="B130" s="30" t="str">
        <x:v>中央民族大学</x:v>
      </x:c>
      <x:c r="C130" s="30" t="str">
        <x:v>全国985覆盖</x:v>
      </x:c>
      <x:c r="D130" s="30" t="str">
        <x:v>原985高校母表</x:v>
      </x:c>
      <x:c r="E130" s="30" t="str">
        <x:v>尚未建立逐平台检索记录</x:v>
      </x:c>
      <x:c r="F130" s="30" t="str">
        <x:v>读取相关实验室完整清单，逐平台核公告及附件</x:v>
      </x:c>
      <x:c r="G130" s="30" t="str">
        <x:v>否</x:v>
      </x:c>
      <x:c r="H130" s="30" t="str">
        <x:v>v0.8地区机构样本清单或39所原985母表</x:v>
      </x:c>
      <x:c r="I130" s="30" t="str">
        <x:v>建立相关实验室清单，补查当年度正式指南</x:v>
      </x:c>
    </x:row>
    <x:row r="131" ht="36" customHeight="1">
      <x:c r="A131" s="30" t="str">
        <x:v>地区及全国母表</x:v>
      </x:c>
      <x:c r="B131" s="30" t="str">
        <x:v>中国农业大学</x:v>
      </x:c>
      <x:c r="C131" s="30" t="str">
        <x:v>全国985覆盖</x:v>
      </x:c>
      <x:c r="D131" s="30" t="str">
        <x:v>原985高校母表</x:v>
      </x:c>
      <x:c r="E131" s="30" t="str">
        <x:v>尚未建立逐平台检索记录</x:v>
      </x:c>
      <x:c r="F131" s="30" t="str">
        <x:v>读取相关实验室完整清单，逐平台核公告及附件</x:v>
      </x:c>
      <x:c r="G131" s="30" t="str">
        <x:v>否</x:v>
      </x:c>
      <x:c r="H131" s="30" t="str">
        <x:v>v0.8地区机构样本清单或39所原985母表</x:v>
      </x:c>
      <x:c r="I131" s="30" t="str">
        <x:v>建立相关实验室清单，补查当年度正式指南</x:v>
      </x:c>
    </x:row>
    <x:row r="132" ht="36" customHeight="1">
      <x:c r="A132" s="30" t="str">
        <x:v>地区及全国母表</x:v>
      </x:c>
      <x:c r="B132" s="30" t="str">
        <x:v>南开大学</x:v>
      </x:c>
      <x:c r="C132" s="30" t="str">
        <x:v>全国985覆盖</x:v>
      </x:c>
      <x:c r="D132" s="30" t="str">
        <x:v>原985高校母表</x:v>
      </x:c>
      <x:c r="E132" s="30" t="str">
        <x:v>尚未建立逐平台检索记录</x:v>
      </x:c>
      <x:c r="F132" s="30" t="str">
        <x:v>读取相关实验室完整清单，逐平台核公告及附件</x:v>
      </x:c>
      <x:c r="G132" s="30" t="str">
        <x:v>否</x:v>
      </x:c>
      <x:c r="H132" s="30" t="str">
        <x:v>v0.8地区机构样本清单或39所原985母表</x:v>
      </x:c>
      <x:c r="I132" s="30" t="str">
        <x:v>建立相关实验室清单，补查当年度正式指南</x:v>
      </x:c>
    </x:row>
    <x:row r="133" ht="36" customHeight="1">
      <x:c r="A133" s="30" t="str">
        <x:v>地区及全国母表</x:v>
      </x:c>
      <x:c r="B133" s="30" t="str">
        <x:v>天津大学</x:v>
      </x:c>
      <x:c r="C133" s="30" t="str">
        <x:v>全国985覆盖</x:v>
      </x:c>
      <x:c r="D133" s="30" t="str">
        <x:v>原985高校母表</x:v>
      </x:c>
      <x:c r="E133" s="30" t="str">
        <x:v>已发现至少一条历史公告线索；仍未完成校内全部相关平台检查</x:v>
      </x:c>
      <x:c r="F133" s="30" t="str">
        <x:v>读取相关实验室完整清单，逐平台核公告及附件</x:v>
      </x:c>
      <x:c r="G133" s="30" t="str">
        <x:v>否</x:v>
      </x:c>
      <x:c r="H133" s="30" t="str">
        <x:v>v0.8地区机构样本清单或39所原985母表</x:v>
      </x:c>
      <x:c r="I133" s="30" t="str">
        <x:v>建立相关实验室清单，补查当年度正式指南</x:v>
      </x:c>
    </x:row>
    <x:row r="134" ht="36" customHeight="1">
      <x:c r="A134" s="30" t="str">
        <x:v>地区及全国母表</x:v>
      </x:c>
      <x:c r="B134" s="30" t="str">
        <x:v>大连理工大学</x:v>
      </x:c>
      <x:c r="C134" s="30" t="str">
        <x:v>全国985覆盖</x:v>
      </x:c>
      <x:c r="D134" s="30" t="str">
        <x:v>原985高校母表</x:v>
      </x:c>
      <x:c r="E134" s="30" t="str">
        <x:v>本轮仅作限定关键词定向网站搜索，未找到可确认当期开放基金；仍未完成平台检查</x:v>
      </x:c>
      <x:c r="F134" s="30" t="str">
        <x:v>读取相关实验室完整清单，逐平台核公告及附件</x:v>
      </x:c>
      <x:c r="G134" s="30" t="str">
        <x:v>否</x:v>
      </x:c>
      <x:c r="H134" s="30" t="str">
        <x:v>v0.8地区机构样本清单或39所原985母表</x:v>
      </x:c>
      <x:c r="I134" s="30" t="str">
        <x:v>建立相关实验室清单，补查当年度正式指南</x:v>
      </x:c>
    </x:row>
    <x:row r="135" ht="36" customHeight="1">
      <x:c r="A135" s="30" t="str">
        <x:v>地区及全国母表</x:v>
      </x:c>
      <x:c r="B135" s="30" t="str">
        <x:v>东北大学</x:v>
      </x:c>
      <x:c r="C135" s="30" t="str">
        <x:v>全国985覆盖</x:v>
      </x:c>
      <x:c r="D135" s="30" t="str">
        <x:v>原985高校母表</x:v>
      </x:c>
      <x:c r="E135" s="30" t="str">
        <x:v>尚未建立逐平台检索记录</x:v>
      </x:c>
      <x:c r="F135" s="30" t="str">
        <x:v>读取相关实验室完整清单，逐平台核公告及附件</x:v>
      </x:c>
      <x:c r="G135" s="30" t="str">
        <x:v>否</x:v>
      </x:c>
      <x:c r="H135" s="30" t="str">
        <x:v>v0.8地区机构样本清单或39所原985母表</x:v>
      </x:c>
      <x:c r="I135" s="30" t="str">
        <x:v>建立相关实验室清单，补查当年度正式指南</x:v>
      </x:c>
    </x:row>
    <x:row r="136" ht="36" customHeight="1">
      <x:c r="A136" s="30" t="str">
        <x:v>地区及全国母表</x:v>
      </x:c>
      <x:c r="B136" s="30" t="str">
        <x:v>吉林大学</x:v>
      </x:c>
      <x:c r="C136" s="30" t="str">
        <x:v>全国985覆盖</x:v>
      </x:c>
      <x:c r="D136" s="30" t="str">
        <x:v>原985高校母表</x:v>
      </x:c>
      <x:c r="E136" s="30" t="str">
        <x:v>已发现至少一条历史公告线索；仍未完成校内全部相关平台检查</x:v>
      </x:c>
      <x:c r="F136" s="30" t="str">
        <x:v>读取相关实验室完整清单，逐平台核公告及附件</x:v>
      </x:c>
      <x:c r="G136" s="30" t="str">
        <x:v>否</x:v>
      </x:c>
      <x:c r="H136" s="30" t="str">
        <x:v>v0.8地区机构样本清单或39所原985母表</x:v>
      </x:c>
      <x:c r="I136" s="30" t="str">
        <x:v>建立相关实验室清单，补查当年度正式指南</x:v>
      </x:c>
    </x:row>
    <x:row r="137" ht="36" customHeight="1">
      <x:c r="A137" s="30" t="str">
        <x:v>地区及全国母表</x:v>
      </x:c>
      <x:c r="B137" s="30" t="str">
        <x:v>哈尔滨工业大学</x:v>
      </x:c>
      <x:c r="C137" s="30" t="str">
        <x:v>全国985覆盖</x:v>
      </x:c>
      <x:c r="D137" s="30" t="str">
        <x:v>原985高校母表</x:v>
      </x:c>
      <x:c r="E137" s="30" t="str">
        <x:v>已发现至少一条历史公告线索；仍未完成校内全部相关平台检查</x:v>
      </x:c>
      <x:c r="F137" s="30" t="str">
        <x:v>读取相关实验室完整清单，逐平台核公告及附件</x:v>
      </x:c>
      <x:c r="G137" s="30" t="str">
        <x:v>否</x:v>
      </x:c>
      <x:c r="H137" s="30" t="str">
        <x:v>v0.8地区机构样本清单或39所原985母表</x:v>
      </x:c>
      <x:c r="I137" s="30" t="str">
        <x:v>建立相关实验室清单，补查当年度正式指南</x:v>
      </x:c>
    </x:row>
    <x:row r="138" ht="36" customHeight="1">
      <x:c r="A138" s="30" t="str">
        <x:v>地区及全国母表</x:v>
      </x:c>
      <x:c r="B138" s="30" t="str">
        <x:v>厦门大学</x:v>
      </x:c>
      <x:c r="C138" s="30" t="str">
        <x:v>全国985覆盖</x:v>
      </x:c>
      <x:c r="D138" s="30" t="str">
        <x:v>原985高校母表</x:v>
      </x:c>
      <x:c r="E138" s="30" t="str">
        <x:v>已发现至少一条历史公告线索；仍未完成校内全部相关平台检查</x:v>
      </x:c>
      <x:c r="F138" s="30" t="str">
        <x:v>读取相关实验室完整清单，逐平台核公告及附件</x:v>
      </x:c>
      <x:c r="G138" s="30" t="str">
        <x:v>否</x:v>
      </x:c>
      <x:c r="H138" s="30" t="str">
        <x:v>v0.8地区机构样本清单或39所原985母表</x:v>
      </x:c>
      <x:c r="I138" s="30" t="str">
        <x:v>建立相关实验室清单，补查当年度正式指南</x:v>
      </x:c>
    </x:row>
    <x:row r="139" ht="36" customHeight="1">
      <x:c r="A139" s="30" t="str">
        <x:v>地区及全国母表</x:v>
      </x:c>
      <x:c r="B139" s="30" t="str">
        <x:v>山东大学</x:v>
      </x:c>
      <x:c r="C139" s="30" t="str">
        <x:v>全国985覆盖</x:v>
      </x:c>
      <x:c r="D139" s="30" t="str">
        <x:v>原985高校母表</x:v>
      </x:c>
      <x:c r="E139" s="30" t="str">
        <x:v>已发现至少一条历史公告线索；仍未完成校内全部相关平台检查</x:v>
      </x:c>
      <x:c r="F139" s="30" t="str">
        <x:v>读取相关实验室完整清单，逐平台核公告及附件</x:v>
      </x:c>
      <x:c r="G139" s="30" t="str">
        <x:v>否</x:v>
      </x:c>
      <x:c r="H139" s="30" t="str">
        <x:v>v0.8地区机构样本清单或39所原985母表</x:v>
      </x:c>
      <x:c r="I139" s="30" t="str">
        <x:v>建立相关实验室清单，补查当年度正式指南</x:v>
      </x:c>
    </x:row>
    <x:row r="140" ht="36" customHeight="1">
      <x:c r="A140" s="30" t="str">
        <x:v>地区及全国母表</x:v>
      </x:c>
      <x:c r="B140" s="30" t="str">
        <x:v>中国海洋大学</x:v>
      </x:c>
      <x:c r="C140" s="30" t="str">
        <x:v>全国985覆盖</x:v>
      </x:c>
      <x:c r="D140" s="30" t="str">
        <x:v>原985高校母表</x:v>
      </x:c>
      <x:c r="E140" s="30" t="str">
        <x:v>尚未建立逐平台检索记录</x:v>
      </x:c>
      <x:c r="F140" s="30" t="str">
        <x:v>读取相关实验室完整清单，逐平台核公告及附件</x:v>
      </x:c>
      <x:c r="G140" s="30" t="str">
        <x:v>否</x:v>
      </x:c>
      <x:c r="H140" s="30" t="str">
        <x:v>v0.8地区机构样本清单或39所原985母表</x:v>
      </x:c>
      <x:c r="I140" s="30" t="str">
        <x:v>建立相关实验室清单，补查当年度正式指南</x:v>
      </x:c>
    </x:row>
    <x:row r="141" ht="36" customHeight="1">
      <x:c r="A141" s="30" t="str">
        <x:v>地区及全国母表</x:v>
      </x:c>
      <x:c r="B141" s="30" t="str">
        <x:v>武汉大学</x:v>
      </x:c>
      <x:c r="C141" s="30" t="str">
        <x:v>全国985覆盖</x:v>
      </x:c>
      <x:c r="D141" s="30" t="str">
        <x:v>原985高校母表</x:v>
      </x:c>
      <x:c r="E141" s="30" t="str">
        <x:v>本轮仅作限定关键词定向网站搜索，未找到可确认当期开放基金；仍未完成平台检查</x:v>
      </x:c>
      <x:c r="F141" s="30" t="str">
        <x:v>读取相关实验室完整清单，逐平台核公告及附件</x:v>
      </x:c>
      <x:c r="G141" s="30" t="str">
        <x:v>否</x:v>
      </x:c>
      <x:c r="H141" s="30" t="str">
        <x:v>v0.8地区机构样本清单或39所原985母表</x:v>
      </x:c>
      <x:c r="I141" s="30" t="str">
        <x:v>建立相关实验室清单，补查当年度正式指南</x:v>
      </x:c>
    </x:row>
    <x:row r="142" ht="36" customHeight="1">
      <x:c r="A142" s="30" t="str">
        <x:v>地区及全国母表</x:v>
      </x:c>
      <x:c r="B142" s="30" t="str">
        <x:v>华中科技大学</x:v>
      </x:c>
      <x:c r="C142" s="30" t="str">
        <x:v>全国985覆盖</x:v>
      </x:c>
      <x:c r="D142" s="30" t="str">
        <x:v>原985高校母表</x:v>
      </x:c>
      <x:c r="E142" s="30" t="str">
        <x:v>已发现至少一条历史公告线索；仍未完成校内全部相关平台检查</x:v>
      </x:c>
      <x:c r="F142" s="30" t="str">
        <x:v>读取相关实验室完整清单，逐平台核公告及附件</x:v>
      </x:c>
      <x:c r="G142" s="30" t="str">
        <x:v>否</x:v>
      </x:c>
      <x:c r="H142" s="30" t="str">
        <x:v>v0.8地区机构样本清单或39所原985母表</x:v>
      </x:c>
      <x:c r="I142" s="30" t="str">
        <x:v>建立相关实验室清单，补查当年度正式指南</x:v>
      </x:c>
    </x:row>
    <x:row r="143" ht="36" customHeight="1">
      <x:c r="A143" s="30" t="str">
        <x:v>地区及全国母表</x:v>
      </x:c>
      <x:c r="B143" s="30" t="str">
        <x:v>湖南大学</x:v>
      </x:c>
      <x:c r="C143" s="30" t="str">
        <x:v>全国985覆盖</x:v>
      </x:c>
      <x:c r="D143" s="30" t="str">
        <x:v>原985高校母表</x:v>
      </x:c>
      <x:c r="E143" s="30" t="str">
        <x:v>已发现至少一条历史公告线索；仍未完成校内全部相关平台检查</x:v>
      </x:c>
      <x:c r="F143" s="30" t="str">
        <x:v>读取相关实验室完整清单，逐平台核公告及附件</x:v>
      </x:c>
      <x:c r="G143" s="30" t="str">
        <x:v>否</x:v>
      </x:c>
      <x:c r="H143" s="30" t="str">
        <x:v>v0.8地区机构样本清单或39所原985母表</x:v>
      </x:c>
      <x:c r="I143" s="30" t="str">
        <x:v>建立相关实验室清单，补查当年度正式指南</x:v>
      </x:c>
    </x:row>
    <x:row r="144" ht="36" customHeight="1">
      <x:c r="A144" s="30" t="str">
        <x:v>地区及全国母表</x:v>
      </x:c>
      <x:c r="B144" s="30" t="str">
        <x:v>中南大学</x:v>
      </x:c>
      <x:c r="C144" s="30" t="str">
        <x:v>全国985覆盖</x:v>
      </x:c>
      <x:c r="D144" s="30" t="str">
        <x:v>原985高校母表</x:v>
      </x:c>
      <x:c r="E144" s="30" t="str">
        <x:v>尚未建立逐平台检索记录</x:v>
      </x:c>
      <x:c r="F144" s="30" t="str">
        <x:v>读取相关实验室完整清单，逐平台核公告及附件</x:v>
      </x:c>
      <x:c r="G144" s="30" t="str">
        <x:v>否</x:v>
      </x:c>
      <x:c r="H144" s="30" t="str">
        <x:v>v0.8地区机构样本清单或39所原985母表</x:v>
      </x:c>
      <x:c r="I144" s="30" t="str">
        <x:v>建立相关实验室清单，补查当年度正式指南</x:v>
      </x:c>
    </x:row>
    <x:row r="145" ht="36" customHeight="1">
      <x:c r="A145" s="30" t="str">
        <x:v>地区及全国母表</x:v>
      </x:c>
      <x:c r="B145" s="30" t="str">
        <x:v>国防科技大学</x:v>
      </x:c>
      <x:c r="C145" s="30" t="str">
        <x:v>全国985覆盖</x:v>
      </x:c>
      <x:c r="D145" s="30" t="str">
        <x:v>原985高校母表</x:v>
      </x:c>
      <x:c r="E145" s="30" t="str">
        <x:v>尚未建立逐平台检索记录</x:v>
      </x:c>
      <x:c r="F145" s="30" t="str">
        <x:v>读取相关实验室完整清单，逐平台核公告及附件</x:v>
      </x:c>
      <x:c r="G145" s="30" t="str">
        <x:v>否</x:v>
      </x:c>
      <x:c r="H145" s="30" t="str">
        <x:v>v0.8地区机构样本清单或39所原985母表</x:v>
      </x:c>
      <x:c r="I145" s="30" t="str">
        <x:v>建立相关实验室清单，补查当年度正式指南</x:v>
      </x:c>
    </x:row>
    <x:row r="146" ht="36" customHeight="1">
      <x:c r="A146" s="30" t="str">
        <x:v>地区及全国母表</x:v>
      </x:c>
      <x:c r="B146" s="30" t="str">
        <x:v>四川大学</x:v>
      </x:c>
      <x:c r="C146" s="30" t="str">
        <x:v>全国985覆盖</x:v>
      </x:c>
      <x:c r="D146" s="30" t="str">
        <x:v>原985高校母表</x:v>
      </x:c>
      <x:c r="E146" s="30" t="str">
        <x:v>尚未建立逐平台检索记录</x:v>
      </x:c>
      <x:c r="F146" s="30" t="str">
        <x:v>读取相关实验室完整清单，逐平台核公告及附件</x:v>
      </x:c>
      <x:c r="G146" s="30" t="str">
        <x:v>否</x:v>
      </x:c>
      <x:c r="H146" s="30" t="str">
        <x:v>v0.8地区机构样本清单或39所原985母表</x:v>
      </x:c>
      <x:c r="I146" s="30" t="str">
        <x:v>建立相关实验室清单，补查当年度正式指南</x:v>
      </x:c>
    </x:row>
    <x:row r="147" ht="36" customHeight="1">
      <x:c r="A147" s="30" t="str">
        <x:v>地区及全国母表</x:v>
      </x:c>
      <x:c r="B147" s="30" t="str">
        <x:v>电子科技大学</x:v>
      </x:c>
      <x:c r="C147" s="30" t="str">
        <x:v>全国985覆盖</x:v>
      </x:c>
      <x:c r="D147" s="30" t="str">
        <x:v>原985高校母表</x:v>
      </x:c>
      <x:c r="E147" s="30" t="str">
        <x:v>已发现至少一条历史公告线索；仍未完成校内全部相关平台检查</x:v>
      </x:c>
      <x:c r="F147" s="30" t="str">
        <x:v>读取相关实验室完整清单，逐平台核公告及附件</x:v>
      </x:c>
      <x:c r="G147" s="30" t="str">
        <x:v>否</x:v>
      </x:c>
      <x:c r="H147" s="30" t="str">
        <x:v>v0.8地区机构样本清单或39所原985母表</x:v>
      </x:c>
      <x:c r="I147" s="30" t="str">
        <x:v>建立相关实验室清单，补查当年度正式指南</x:v>
      </x:c>
    </x:row>
    <x:row r="148" ht="36" customHeight="1">
      <x:c r="A148" s="30" t="str">
        <x:v>地区及全国母表</x:v>
      </x:c>
      <x:c r="B148" s="30" t="str">
        <x:v>西安交通大学</x:v>
      </x:c>
      <x:c r="C148" s="30" t="str">
        <x:v>全国985覆盖</x:v>
      </x:c>
      <x:c r="D148" s="30" t="str">
        <x:v>原985高校母表</x:v>
      </x:c>
      <x:c r="E148" s="30" t="str">
        <x:v>已发现至少一条历史公告线索；仍未完成校内全部相关平台检查</x:v>
      </x:c>
      <x:c r="F148" s="30" t="str">
        <x:v>读取相关实验室完整清单，逐平台核公告及附件</x:v>
      </x:c>
      <x:c r="G148" s="30" t="str">
        <x:v>否</x:v>
      </x:c>
      <x:c r="H148" s="30" t="str">
        <x:v>v0.8地区机构样本清单或39所原985母表</x:v>
      </x:c>
      <x:c r="I148" s="30" t="str">
        <x:v>建立相关实验室清单，补查当年度正式指南</x:v>
      </x:c>
    </x:row>
    <x:row r="149" ht="36" customHeight="1">
      <x:c r="A149" s="30" t="str">
        <x:v>地区及全国母表</x:v>
      </x:c>
      <x:c r="B149" s="30" t="str">
        <x:v>西北农林科技大学</x:v>
      </x:c>
      <x:c r="C149" s="30" t="str">
        <x:v>全国985覆盖</x:v>
      </x:c>
      <x:c r="D149" s="30" t="str">
        <x:v>原985高校母表</x:v>
      </x:c>
      <x:c r="E149" s="30" t="str">
        <x:v>尚未建立逐平台检索记录</x:v>
      </x:c>
      <x:c r="F149" s="30" t="str">
        <x:v>读取相关实验室完整清单，逐平台核公告及附件</x:v>
      </x:c>
      <x:c r="G149" s="30" t="str">
        <x:v>否</x:v>
      </x:c>
      <x:c r="H149" s="30" t="str">
        <x:v>v0.8地区机构样本清单或39所原985母表</x:v>
      </x:c>
      <x:c r="I149" s="30" t="str">
        <x:v>建立相关实验室清单，补查当年度正式指南</x:v>
      </x:c>
    </x:row>
    <x:row r="150" ht="36" customHeight="1">
      <x:c r="A150" s="30" t="str">
        <x:v>地区及全国母表</x:v>
      </x:c>
      <x:c r="B150" s="30" t="str">
        <x:v>兰州大学</x:v>
      </x:c>
      <x:c r="C150" s="30" t="str">
        <x:v>全国985覆盖</x:v>
      </x:c>
      <x:c r="D150" s="30" t="str">
        <x:v>原985高校母表</x:v>
      </x:c>
      <x:c r="E150" s="30" t="str">
        <x:v>尚未建立逐平台检索记录</x:v>
      </x:c>
      <x:c r="F150" s="30" t="str">
        <x:v>读取相关实验室完整清单，逐平台核公告及附件</x:v>
      </x:c>
      <x:c r="G150" s="30" t="str">
        <x:v>否</x:v>
      </x:c>
      <x:c r="H150" s="30" t="str">
        <x:v>v0.8地区机构样本清单或39所原985母表</x:v>
      </x:c>
      <x:c r="I150" s="30" t="str">
        <x:v>建立相关实验室清单，补查当年度正式指南</x:v>
      </x:c>
    </x:row>
    <x:row r="151">
      <x:c r="A151"/>
      <x:c r="B151"/>
      <x:c r="C151"/>
      <x:c r="D151"/>
      <x:c r="E151"/>
      <x:c r="F151"/>
      <x:c r="G151"/>
      <x:c r="H151"/>
      <x:c r="I151"/>
    </x:row>
    <x:row r="152">
      <x:c r="A152"/>
      <x:c r="B152"/>
      <x:c r="C152"/>
      <x:c r="D152"/>
      <x:c r="E152"/>
      <x:c r="F152"/>
      <x:c r="G152"/>
      <x:c r="H152"/>
      <x:c r="I152"/>
    </x:row>
    <x:row r="153">
      <x:c r="A153"/>
      <x:c r="B153"/>
      <x:c r="C153"/>
      <x:c r="D153"/>
      <x:c r="E153"/>
      <x:c r="F153"/>
      <x:c r="G153"/>
      <x:c r="H153"/>
      <x:c r="I153"/>
    </x:row>
    <x:row r="154">
      <x:c r="A154"/>
      <x:c r="B154"/>
      <x:c r="C154"/>
      <x:c r="D154"/>
      <x:c r="E154"/>
      <x:c r="F154"/>
      <x:c r="G154"/>
      <x:c r="H154"/>
      <x:c r="I154"/>
    </x:row>
    <x:row r="155">
      <x:c r="A155"/>
      <x:c r="B155"/>
      <x:c r="C155"/>
      <x:c r="D155"/>
      <x:c r="E155"/>
      <x:c r="F155"/>
      <x:c r="G155"/>
      <x:c r="H155"/>
      <x:c r="I155"/>
    </x:row>
    <x:row r="156">
      <x:c r="A156"/>
      <x:c r="B156"/>
      <x:c r="C156"/>
      <x:c r="D156"/>
      <x:c r="E156"/>
      <x:c r="F156"/>
      <x:c r="G156"/>
      <x:c r="H156"/>
      <x:c r="I156"/>
    </x:row>
    <x:row r="157">
      <x:c r="A157"/>
      <x:c r="B157"/>
      <x:c r="C157"/>
      <x:c r="D157"/>
      <x:c r="E157"/>
      <x:c r="F157"/>
      <x:c r="G157"/>
      <x:c r="H157"/>
      <x:c r="I157"/>
    </x:row>
  </x:sheetData>
  <x:mergeCells>
    <x:mergeCell ref="A1:I1"/>
    <x:mergeCell ref="A2:I2"/>
  </x:mergeCells>
  <x:conditionalFormatting sqref="G7:G150">
    <x:cfRule type="expression" dxfId="5" priority="1">
      <x:formula>$G7="否"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c1fc4f281544aa"/>
  </x:tableParts>
</x:worksheet>
</file>